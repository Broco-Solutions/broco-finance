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gresos" sheetId="1" r:id="rId4"/>
    <sheet state="visible" name="Gastos" sheetId="2" r:id="rId5"/>
    <sheet state="visible" name="Distribución" sheetId="3" r:id="rId6"/>
    <sheet state="visible" name="Resumen" sheetId="4" r:id="rId7"/>
    <sheet state="hidden" name="Listas" sheetId="5" r:id="rId8"/>
  </sheets>
  <definedNames>
    <definedName hidden="1" localSheetId="1" name="_xlnm._FilterDatabase">Gastos!$A$1:$H$202</definedName>
  </definedNames>
  <calcPr/>
  <extLst>
    <ext uri="GoogleSheetsCustomDataVersion2">
      <go:sheetsCustomData xmlns:go="http://customooxmlschemas.google.com/" r:id="rId9" roundtripDataChecksum="LvfYWP89fvGc1v4UFGVJ2QNaCSS/cTDnPV04V88L/j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Transferidos a Cocos el 01/03/26 - usd 1,434.29
======</t>
      </text>
    </comment>
    <comment authorId="0" ref="C4">
      <text>
        <t xml:space="preserve">Transferidos a Cocos el 02/03/26 - usd 1,428.17
======</t>
      </text>
    </comment>
  </commentList>
</comments>
</file>

<file path=xl/sharedStrings.xml><?xml version="1.0" encoding="utf-8"?>
<sst xmlns="http://schemas.openxmlformats.org/spreadsheetml/2006/main" count="310" uniqueCount="112">
  <si>
    <t>Fecha</t>
  </si>
  <si>
    <t>Cliente</t>
  </si>
  <si>
    <t>Proyecto</t>
  </si>
  <si>
    <t>Estado del proyecto</t>
  </si>
  <si>
    <t>Monto ARS</t>
  </si>
  <si>
    <t>Monto USD</t>
  </si>
  <si>
    <t>Tipo de Ingreso</t>
  </si>
  <si>
    <t>Reservado</t>
  </si>
  <si>
    <t>Monto Reservado</t>
  </si>
  <si>
    <t>Observaciones</t>
  </si>
  <si>
    <t>PACSA</t>
  </si>
  <si>
    <t>Automatizacion WhatsApp</t>
  </si>
  <si>
    <t>Activo</t>
  </si>
  <si>
    <t>Adelanto</t>
  </si>
  <si>
    <t>Pago final</t>
  </si>
  <si>
    <t>Recurrente</t>
  </si>
  <si>
    <t>Pagado hasta febrero 2026 inclusive</t>
  </si>
  <si>
    <t>COIRINI</t>
  </si>
  <si>
    <t>Gestion RRSS</t>
  </si>
  <si>
    <t>Lista de difusión</t>
  </si>
  <si>
    <t>Pagado hasta marzo 2026 inclusive</t>
  </si>
  <si>
    <t>COLEGIO</t>
  </si>
  <si>
    <t>Estampilla Digital</t>
  </si>
  <si>
    <t>40% del total</t>
  </si>
  <si>
    <t>FAUFENA</t>
  </si>
  <si>
    <t>Plataforma B2B</t>
  </si>
  <si>
    <t>50% del total</t>
  </si>
  <si>
    <t>Nico Oliveto</t>
  </si>
  <si>
    <t>Soporte</t>
  </si>
  <si>
    <t>BERTINO</t>
  </si>
  <si>
    <t>Sitio Web</t>
  </si>
  <si>
    <t>50% restante Sitio Web</t>
  </si>
  <si>
    <t>Mantenimiento mensual Sitio Web hasta Febrero 2027 inclusive</t>
  </si>
  <si>
    <t>Diciembre y Enero</t>
  </si>
  <si>
    <t>Marzo a Agosto 2026 inclusive</t>
  </si>
  <si>
    <t>Firma Digital</t>
  </si>
  <si>
    <t>Finalizado</t>
  </si>
  <si>
    <t xml:space="preserve">Pago unico </t>
  </si>
  <si>
    <t>Ajuste por intereses</t>
  </si>
  <si>
    <t>RASAFERTIL</t>
  </si>
  <si>
    <t>50% Sitio Web</t>
  </si>
  <si>
    <t>UN TOQUE DE AMOR</t>
  </si>
  <si>
    <t>eCommerce</t>
  </si>
  <si>
    <t>465 de 1400</t>
  </si>
  <si>
    <t>Digitalización Documentos</t>
  </si>
  <si>
    <t>30% inicial</t>
  </si>
  <si>
    <t>Tipo de Gasto</t>
  </si>
  <si>
    <t>Categoría</t>
  </si>
  <si>
    <t>Proyecto (si aplica)</t>
  </si>
  <si>
    <t>Variable</t>
  </si>
  <si>
    <t>Infra/Cloud</t>
  </si>
  <si>
    <t>Rackspace</t>
  </si>
  <si>
    <t>Fijo</t>
  </si>
  <si>
    <t>Herramientas/Software</t>
  </si>
  <si>
    <t>ChatGPT</t>
  </si>
  <si>
    <t>v0</t>
  </si>
  <si>
    <t>Publicidad (ads)</t>
  </si>
  <si>
    <t>LinkedIn</t>
  </si>
  <si>
    <t>Marketing</t>
  </si>
  <si>
    <t>Mehc</t>
  </si>
  <si>
    <t>Mehc - Tercerización RRSS Coirini</t>
  </si>
  <si>
    <t>Contabilidad/Legal</t>
  </si>
  <si>
    <t>Monotributo</t>
  </si>
  <si>
    <t>IIBB</t>
  </si>
  <si>
    <t>GCP</t>
  </si>
  <si>
    <t>Mehc + Coirini</t>
  </si>
  <si>
    <t>V0 + Chat + Rackspace + GCP</t>
  </si>
  <si>
    <t>Stickers</t>
  </si>
  <si>
    <t>Registro de marca</t>
  </si>
  <si>
    <t>Hardware</t>
  </si>
  <si>
    <t>Memoria RAM Tomas</t>
  </si>
  <si>
    <t>Sueldos/Honorarios</t>
  </si>
  <si>
    <t>750 usd c/u</t>
  </si>
  <si>
    <t>Viajes/Viáticos</t>
  </si>
  <si>
    <t>Desayuno Viru</t>
  </si>
  <si>
    <t>Prospección/Demos</t>
  </si>
  <si>
    <t>Comisión Lis Sitio Web Rasafertil</t>
  </si>
  <si>
    <t>Mes a consultar:</t>
  </si>
  <si>
    <t>CELDAS EN ESTE COLOR SE ACTUALIZAN AUTOMATICAMENTE</t>
  </si>
  <si>
    <t>Capa 1 (Emergencia) - Total Acumulado:</t>
  </si>
  <si>
    <t>Cocos Capital</t>
  </si>
  <si>
    <t>Capa 2 (Crecimiento) - Total Acumulado:</t>
  </si>
  <si>
    <t>Naranja X</t>
  </si>
  <si>
    <t>Capa 4 (Remanente) - Total Histórico:</t>
  </si>
  <si>
    <t>Retirado por sueldo este mes:</t>
  </si>
  <si>
    <t>Resumen por período</t>
  </si>
  <si>
    <t>Fijos</t>
  </si>
  <si>
    <t>Variables (Activos)</t>
  </si>
  <si>
    <t>Total</t>
  </si>
  <si>
    <t>Tipo</t>
  </si>
  <si>
    <t>Tips:</t>
  </si>
  <si>
    <t>Fecha inicio (incluye)</t>
  </si>
  <si>
    <t>- Filtrá en 'Ingresos' y 'Gastos' por 'Estado del proyecto' = Activo para análisis operativo, o quitalo para históricos.</t>
  </si>
  <si>
    <t>Fecha fin (excluye)</t>
  </si>
  <si>
    <t>- Completá '% Reservado' en 'Ingresos' para proyectos estratégicos (ej. Estampilla Digital).</t>
  </si>
  <si>
    <t>- 'Categoría' de Gastos tiene lista desplegable editable en la hoja oculta 'Listas'.</t>
  </si>
  <si>
    <t>Ingresos</t>
  </si>
  <si>
    <t>TOTAL</t>
  </si>
  <si>
    <t>Gastos Fijos</t>
  </si>
  <si>
    <t>Hosting/Dominios</t>
  </si>
  <si>
    <t xml:space="preserve">Gastos Variables </t>
  </si>
  <si>
    <t>Email</t>
  </si>
  <si>
    <t>Publicidad (Ads)</t>
  </si>
  <si>
    <t>Resultado Neto</t>
  </si>
  <si>
    <t>Reserva acumulada (Activos)</t>
  </si>
  <si>
    <t>Otros</t>
  </si>
  <si>
    <t>Estados</t>
  </si>
  <si>
    <t>TiposIngreso</t>
  </si>
  <si>
    <t>TiposGasto</t>
  </si>
  <si>
    <t>CategoriasGasto</t>
  </si>
  <si>
    <t>Cancelado</t>
  </si>
  <si>
    <t>Email/Zoho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</si>
</sst>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/&quot;m&quot;/&quot;yy"/>
    <numFmt numFmtId="165" formatCode="&quot;$&quot;#,##0.00"/>
    <numFmt numFmtId="166" formatCode="m/d/yy"/>
    <numFmt numFmtId="167" formatCode="mmmm&quot; - &quot;yy"/>
    <numFmt numFmtId="168" formatCode="yyyy-mm-dd"/>
  </numFmts>
  <fonts count="18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rgb="FF1F1F1F"/>
      <name val="&quot;Google Sans Text&quot;"/>
    </font>
    <font>
      <b/>
      <color rgb="FF1F1F1F"/>
      <name val="&quot;Google Sans Text&quot;"/>
    </font>
    <font>
      <b/>
      <sz val="18.0"/>
      <color rgb="FF000000"/>
      <name val="Calibri"/>
      <scheme val="minor"/>
    </font>
    <font>
      <b/>
      <sz val="19.0"/>
      <color theme="1"/>
      <name val="Calibri"/>
      <scheme val="minor"/>
    </font>
    <font>
      <sz val="18.0"/>
      <color theme="1"/>
      <name val="Calibri"/>
      <scheme val="minor"/>
    </font>
    <font>
      <b/>
      <sz val="18.0"/>
      <color rgb="FFFFFFFF"/>
      <name val="Calibri"/>
      <scheme val="minor"/>
    </font>
    <font/>
    <font>
      <sz val="14.0"/>
      <color theme="1"/>
      <name val="Calibri"/>
      <scheme val="minor"/>
    </font>
    <font>
      <b/>
      <i/>
      <color theme="1"/>
      <name val="Calibri"/>
      <scheme val="minor"/>
    </font>
    <font>
      <b/>
      <sz val="14.0"/>
      <color theme="1"/>
      <name val="Calibri"/>
      <scheme val="minor"/>
    </font>
    <font>
      <sz val="14.0"/>
      <color theme="1"/>
      <name val="Calibri"/>
    </font>
    <font>
      <i/>
      <color theme="1"/>
      <name val="Calibri"/>
      <scheme val="minor"/>
    </font>
    <font>
      <sz val="14.0"/>
      <color rgb="FFFFFFFF"/>
      <name val="Calibri"/>
      <scheme val="minor"/>
    </font>
    <font>
      <b/>
      <sz val="14.0"/>
      <color rgb="FFFFFFFF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BF9000"/>
        <bgColor rgb="FFBF9000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6D9EEB"/>
        <bgColor rgb="FF6D9EEB"/>
      </patternFill>
    </fill>
    <fill>
      <patternFill patternType="solid">
        <fgColor rgb="FF274E13"/>
        <bgColor rgb="FF274E13"/>
      </patternFill>
    </fill>
  </fills>
  <borders count="16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5" xfId="0" applyAlignment="1" applyFont="1" applyNumberFormat="1">
      <alignment horizontal="right" readingOrder="0" shrinkToFit="0" vertical="center" wrapText="0"/>
    </xf>
    <xf borderId="0" fillId="0" fontId="3" numFmtId="10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5" xfId="0" applyAlignment="1" applyFont="1" applyNumberForma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3" numFmtId="4" xfId="0" applyFont="1" applyNumberFormat="1"/>
    <xf borderId="0" fillId="0" fontId="3" numFmtId="9" xfId="0" applyFont="1" applyNumberFormat="1"/>
    <xf borderId="0" fillId="0" fontId="4" numFmtId="0" xfId="0" applyAlignment="1" applyFont="1">
      <alignment readingOrder="0"/>
    </xf>
    <xf borderId="0" fillId="0" fontId="2" numFmtId="0" xfId="0" applyAlignment="1" applyFont="1">
      <alignment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4" numFmtId="166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2" numFmtId="164" xfId="0" applyAlignment="1" applyFont="1" applyNumberFormat="1">
      <alignment shrinkToFit="0" vertical="center" wrapText="0"/>
    </xf>
    <xf borderId="0" fillId="2" fontId="6" numFmtId="0" xfId="0" applyAlignment="1" applyFill="1" applyFont="1">
      <alignment horizontal="center" readingOrder="0"/>
    </xf>
    <xf borderId="0" fillId="2" fontId="6" numFmtId="167" xfId="0" applyAlignment="1" applyFont="1" applyNumberFormat="1">
      <alignment readingOrder="0"/>
    </xf>
    <xf borderId="0" fillId="3" fontId="7" numFmtId="0" xfId="0" applyAlignment="1" applyFill="1" applyFont="1">
      <alignment horizontal="center" readingOrder="0" vertical="center"/>
    </xf>
    <xf borderId="0" fillId="0" fontId="8" numFmtId="0" xfId="0" applyFont="1"/>
    <xf borderId="0" fillId="4" fontId="8" numFmtId="0" xfId="0" applyAlignment="1" applyFill="1" applyFont="1">
      <alignment horizontal="right" readingOrder="0"/>
    </xf>
    <xf borderId="0" fillId="5" fontId="8" numFmtId="165" xfId="0" applyAlignment="1" applyFill="1" applyFont="1" applyNumberForma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6" fontId="8" numFmtId="0" xfId="0" applyAlignment="1" applyFill="1" applyFont="1">
      <alignment horizontal="right" readingOrder="0"/>
    </xf>
    <xf borderId="0" fillId="7" fontId="8" numFmtId="165" xfId="0" applyAlignment="1" applyFill="1" applyFont="1" applyNumberFormat="1">
      <alignment horizontal="center" readingOrder="0"/>
    </xf>
    <xf borderId="0" fillId="0" fontId="8" numFmtId="0" xfId="0" applyAlignment="1" applyFont="1">
      <alignment horizontal="right" readingOrder="0"/>
    </xf>
    <xf borderId="0" fillId="3" fontId="8" numFmtId="165" xfId="0" applyAlignment="1" applyFont="1" applyNumberFormat="1">
      <alignment horizontal="center"/>
    </xf>
    <xf borderId="0" fillId="0" fontId="8" numFmtId="0" xfId="0" applyAlignment="1" applyFont="1">
      <alignment horizontal="right"/>
    </xf>
    <xf borderId="0" fillId="0" fontId="8" numFmtId="165" xfId="0" applyAlignment="1" applyFont="1" applyNumberFormat="1">
      <alignment horizontal="center" readingOrder="0"/>
    </xf>
    <xf borderId="0" fillId="0" fontId="2" numFmtId="167" xfId="0" applyAlignment="1" applyFont="1" applyNumberFormat="1">
      <alignment readingOrder="0"/>
    </xf>
    <xf borderId="0" fillId="0" fontId="1" numFmtId="0" xfId="0" applyFont="1"/>
    <xf borderId="1" fillId="8" fontId="9" numFmtId="0" xfId="0" applyAlignment="1" applyBorder="1" applyFill="1" applyFont="1">
      <alignment horizontal="center" vertical="center"/>
    </xf>
    <xf borderId="2" fillId="0" fontId="10" numFmtId="0" xfId="0" applyBorder="1" applyFont="1"/>
    <xf borderId="0" fillId="0" fontId="1" numFmtId="0" xfId="0" applyAlignment="1" applyFont="1">
      <alignment horizontal="center" readingOrder="0" vertical="center"/>
    </xf>
    <xf borderId="3" fillId="0" fontId="11" numFmtId="0" xfId="0" applyAlignment="1" applyBorder="1" applyFont="1">
      <alignment vertical="center"/>
    </xf>
    <xf borderId="4" fillId="0" fontId="11" numFmtId="0" xfId="0" applyAlignment="1" applyBorder="1" applyFont="1">
      <alignment vertical="center"/>
    </xf>
    <xf borderId="0" fillId="0" fontId="1" numFmtId="0" xfId="0" applyAlignment="1" applyFont="1">
      <alignment horizontal="center" readingOrder="0" shrinkToFit="0" vertical="center" wrapText="0"/>
    </xf>
    <xf borderId="5" fillId="0" fontId="12" numFmtId="0" xfId="0" applyBorder="1" applyFont="1"/>
    <xf borderId="6" fillId="0" fontId="2" numFmtId="0" xfId="0" applyBorder="1" applyFont="1"/>
    <xf borderId="7" fillId="0" fontId="2" numFmtId="0" xfId="0" applyBorder="1" applyFont="1"/>
    <xf borderId="1" fillId="0" fontId="13" numFmtId="0" xfId="0" applyAlignment="1" applyBorder="1" applyFont="1">
      <alignment horizontal="right" vertical="center"/>
    </xf>
    <xf borderId="2" fillId="0" fontId="14" numFmtId="168" xfId="0" applyAlignment="1" applyBorder="1" applyFont="1" applyNumberFormat="1">
      <alignment readingOrder="0" vertical="center"/>
    </xf>
    <xf borderId="0" fillId="0" fontId="2" numFmtId="0" xfId="0" applyAlignment="1" applyFont="1">
      <alignment shrinkToFit="0" vertical="center" wrapText="0"/>
    </xf>
    <xf borderId="8" fillId="0" fontId="15" numFmtId="0" xfId="0" applyBorder="1" applyFont="1"/>
    <xf borderId="9" fillId="0" fontId="2" numFmtId="0" xfId="0" applyBorder="1" applyFont="1"/>
    <xf borderId="10" fillId="0" fontId="13" numFmtId="0" xfId="0" applyAlignment="1" applyBorder="1" applyFont="1">
      <alignment horizontal="right" vertical="center"/>
    </xf>
    <xf borderId="11" fillId="0" fontId="14" numFmtId="168" xfId="0" applyAlignment="1" applyBorder="1" applyFont="1" applyNumberFormat="1">
      <alignment vertical="center"/>
    </xf>
    <xf borderId="4" fillId="0" fontId="13" numFmtId="0" xfId="0" applyAlignment="1" applyBorder="1" applyFont="1">
      <alignment vertical="center"/>
    </xf>
    <xf borderId="12" fillId="0" fontId="15" numFmtId="0" xfId="0" applyBorder="1" applyFont="1"/>
    <xf borderId="13" fillId="0" fontId="2" numFmtId="0" xfId="0" applyBorder="1" applyFont="1"/>
    <xf borderId="14" fillId="0" fontId="2" numFmtId="0" xfId="0" applyBorder="1" applyFont="1"/>
    <xf borderId="3" fillId="9" fontId="11" numFmtId="0" xfId="0" applyAlignment="1" applyBorder="1" applyFill="1" applyFont="1">
      <alignment horizontal="right" readingOrder="0" vertical="center"/>
    </xf>
    <xf borderId="4" fillId="9" fontId="13" numFmtId="165" xfId="0" applyAlignment="1" applyBorder="1" applyFont="1" applyNumberFormat="1">
      <alignment vertical="center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3" fillId="10" fontId="11" numFmtId="0" xfId="0" applyAlignment="1" applyBorder="1" applyFill="1" applyFont="1">
      <alignment horizontal="right" vertical="center"/>
    </xf>
    <xf borderId="4" fillId="10" fontId="13" numFmtId="165" xfId="0" applyAlignment="1" applyBorder="1" applyFont="1" applyNumberFormat="1">
      <alignment vertical="center"/>
    </xf>
    <xf borderId="3" fillId="10" fontId="11" numFmtId="0" xfId="0" applyAlignment="1" applyBorder="1" applyFont="1">
      <alignment horizontal="right" readingOrder="0" vertical="center"/>
    </xf>
    <xf borderId="3" fillId="0" fontId="11" numFmtId="0" xfId="0" applyAlignment="1" applyBorder="1" applyFont="1">
      <alignment horizontal="right" vertical="center"/>
    </xf>
    <xf borderId="4" fillId="0" fontId="13" numFmtId="165" xfId="0" applyAlignment="1" applyBorder="1" applyFont="1" applyNumberFormat="1">
      <alignment vertical="center"/>
    </xf>
    <xf borderId="3" fillId="11" fontId="11" numFmtId="0" xfId="0" applyAlignment="1" applyBorder="1" applyFill="1" applyFont="1">
      <alignment horizontal="right" vertical="center"/>
    </xf>
    <xf borderId="4" fillId="11" fontId="13" numFmtId="165" xfId="0" applyAlignment="1" applyBorder="1" applyFont="1" applyNumberFormat="1">
      <alignment vertical="center"/>
    </xf>
    <xf borderId="10" fillId="12" fontId="16" numFmtId="0" xfId="0" applyAlignment="1" applyBorder="1" applyFill="1" applyFont="1">
      <alignment horizontal="right" vertical="center"/>
    </xf>
    <xf borderId="11" fillId="12" fontId="17" numFmtId="165" xfId="0" applyAlignment="1" applyBorder="1" applyFont="1" applyNumberFormat="1">
      <alignment vertical="center"/>
    </xf>
    <xf borderId="0" fillId="0" fontId="1" numFmtId="0" xfId="0" applyAlignment="1" applyFont="1">
      <alignment readingOrder="0"/>
    </xf>
    <xf borderId="0" fillId="0" fontId="2" numFmtId="0" xfId="0" applyFont="1"/>
    <xf borderId="15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5" pivot="0" name="Ingreso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Gastos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Resumen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Resumen-style 2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757575"/>
                </a:solidFill>
                <a:latin typeface="+mn-lt"/>
              </a:defRPr>
            </a:pPr>
            <a:r>
              <a:rPr b="1" sz="2400">
                <a:solidFill>
                  <a:srgbClr val="757575"/>
                </a:solidFill>
                <a:latin typeface="+mn-lt"/>
              </a:rPr>
              <a:t>Ingresos vs Gastos Fijos y Variables en período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Ingresos</c:v>
          </c:tx>
          <c:spPr>
            <a:solidFill>
              <a:srgbClr val="6AA84F"/>
            </a:solidFill>
            <a:ln cmpd="sng" w="38100">
              <a:solidFill>
                <a:srgbClr val="000000">
                  <a:alpha val="70196"/>
                </a:srgbClr>
              </a:solidFill>
              <a:prstDash val="solid"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Resumen!$B$7</c:f>
              <c:numCache/>
            </c:numRef>
          </c:val>
        </c:ser>
        <c:ser>
          <c:idx val="1"/>
          <c:order val="1"/>
          <c:tx>
            <c:v>Gatos fijos</c:v>
          </c:tx>
          <c:spPr>
            <a:solidFill>
              <a:srgbClr val="990000"/>
            </a:solidFill>
            <a:ln cmpd="sng" w="38100">
              <a:solidFill>
                <a:srgbClr val="000000">
                  <a:alpha val="70196"/>
                </a:srgbClr>
              </a:solidFill>
              <a:prstDash val="solid"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Resumen!$B$8</c:f>
              <c:numCache/>
            </c:numRef>
          </c:val>
        </c:ser>
        <c:ser>
          <c:idx val="2"/>
          <c:order val="2"/>
          <c:tx>
            <c:v>Gastos Variables</c:v>
          </c:tx>
          <c:spPr>
            <a:solidFill>
              <a:srgbClr val="990000"/>
            </a:solidFill>
            <a:ln cmpd="sng" w="38100">
              <a:solidFill>
                <a:srgbClr val="000000">
                  <a:alpha val="70196"/>
                </a:srgbClr>
              </a:solidFill>
              <a:prstDash val="solid"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Resumen!$B$9</c:f>
              <c:numCache/>
            </c:numRef>
          </c:val>
        </c:ser>
        <c:overlap val="100"/>
        <c:axId val="1223911296"/>
        <c:axId val="675915726"/>
      </c:barChart>
      <c:catAx>
        <c:axId val="1223911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5915726"/>
      </c:catAx>
      <c:valAx>
        <c:axId val="6759157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2239112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757575"/>
                </a:solidFill>
                <a:latin typeface="+mn-lt"/>
              </a:defRPr>
            </a:pPr>
            <a:r>
              <a:rPr b="1" sz="2400">
                <a:solidFill>
                  <a:srgbClr val="757575"/>
                </a:solidFill>
                <a:latin typeface="+mn-lt"/>
              </a:rPr>
              <a:t>Gastos por categoría en período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  <a:ln cmpd="sng" w="9525">
                <a:solidFill>
                  <a:srgbClr val="660000"/>
                </a:solidFill>
              </a:ln>
            </c:spPr>
          </c:dPt>
          <c:dPt>
            <c:idx val="1"/>
            <c:spPr>
              <a:solidFill>
                <a:srgbClr val="C0504D"/>
              </a:solidFill>
              <a:ln cmpd="sng" w="9525">
                <a:solidFill>
                  <a:srgbClr val="660000"/>
                </a:solidFill>
              </a:ln>
            </c:spPr>
          </c:dPt>
          <c:dPt>
            <c:idx val="2"/>
            <c:spPr>
              <a:solidFill>
                <a:srgbClr val="9BBB59"/>
              </a:solidFill>
              <a:ln cmpd="sng" w="9525">
                <a:solidFill>
                  <a:srgbClr val="660000"/>
                </a:solidFill>
              </a:ln>
            </c:spPr>
          </c:dPt>
          <c:dPt>
            <c:idx val="3"/>
            <c:spPr>
              <a:solidFill>
                <a:srgbClr val="8064A2"/>
              </a:solidFill>
              <a:ln cmpd="sng" w="9525">
                <a:solidFill>
                  <a:srgbClr val="660000"/>
                </a:solidFill>
              </a:ln>
            </c:spPr>
          </c:dPt>
          <c:dPt>
            <c:idx val="4"/>
            <c:spPr>
              <a:solidFill>
                <a:srgbClr val="4BACC6"/>
              </a:solidFill>
              <a:ln cmpd="sng" w="9525">
                <a:solidFill>
                  <a:srgbClr val="660000"/>
                </a:solidFill>
              </a:ln>
            </c:spPr>
          </c:dPt>
          <c:dPt>
            <c:idx val="5"/>
            <c:spPr>
              <a:solidFill>
                <a:srgbClr val="F79646"/>
              </a:solidFill>
              <a:ln cmpd="sng" w="9525">
                <a:solidFill>
                  <a:srgbClr val="660000"/>
                </a:solidFill>
              </a:ln>
            </c:spPr>
          </c:dPt>
          <c:dPt>
            <c:idx val="6"/>
            <c:spPr>
              <a:solidFill>
                <a:srgbClr val="84A7D1"/>
              </a:solidFill>
              <a:ln cmpd="sng" w="9525">
                <a:solidFill>
                  <a:srgbClr val="660000"/>
                </a:solidFill>
              </a:ln>
            </c:spPr>
          </c:dPt>
          <c:dPt>
            <c:idx val="7"/>
            <c:spPr>
              <a:solidFill>
                <a:srgbClr val="D38582"/>
              </a:solidFill>
              <a:ln cmpd="sng" w="9525">
                <a:solidFill>
                  <a:srgbClr val="660000"/>
                </a:solidFill>
              </a:ln>
            </c:spPr>
          </c:dPt>
          <c:dPt>
            <c:idx val="8"/>
            <c:spPr>
              <a:solidFill>
                <a:srgbClr val="B9CF8B"/>
              </a:solidFill>
              <a:ln cmpd="sng" w="9525">
                <a:solidFill>
                  <a:srgbClr val="660000"/>
                </a:solidFill>
              </a:ln>
            </c:spPr>
          </c:dPt>
          <c:dPt>
            <c:idx val="9"/>
            <c:spPr>
              <a:solidFill>
                <a:srgbClr val="A693BE"/>
              </a:solidFill>
              <a:ln cmpd="sng" w="9525">
                <a:solidFill>
                  <a:srgbClr val="660000"/>
                </a:solidFill>
              </a:ln>
            </c:spPr>
          </c:dPt>
          <c:dPt>
            <c:idx val="10"/>
            <c:spPr>
              <a:solidFill>
                <a:srgbClr val="81C5D7"/>
              </a:solidFill>
              <a:ln cmpd="sng" w="9525">
                <a:solidFill>
                  <a:srgbClr val="660000"/>
                </a:solidFill>
              </a:ln>
            </c:spPr>
          </c:dPt>
          <c:dPt>
            <c:idx val="11"/>
            <c:spPr>
              <a:solidFill>
                <a:srgbClr val="F9B67E"/>
              </a:solidFill>
              <a:ln cmpd="sng" w="9525">
                <a:solidFill>
                  <a:srgbClr val="660000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Resumen!$D$4:$D$15</c:f>
            </c:strRef>
          </c:cat>
          <c:val>
            <c:numRef>
              <c:f>Resumen!$G$4:$G$15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757575"/>
                </a:solidFill>
                <a:latin typeface="+mn-lt"/>
              </a:defRPr>
            </a:pPr>
            <a:r>
              <a:rPr b="1" sz="2400">
                <a:solidFill>
                  <a:srgbClr val="757575"/>
                </a:solidFill>
                <a:latin typeface="+mn-lt"/>
              </a:rPr>
              <a:t>Ingresos por tipo en período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  <a:ln cmpd="sng" w="9525">
                <a:solidFill>
                  <a:srgbClr val="274E13"/>
                </a:solidFill>
              </a:ln>
            </c:spPr>
          </c:dPt>
          <c:dPt>
            <c:idx val="1"/>
            <c:spPr>
              <a:solidFill>
                <a:srgbClr val="C0504D"/>
              </a:solidFill>
              <a:ln cmpd="sng" w="9525">
                <a:solidFill>
                  <a:srgbClr val="274E13"/>
                </a:solidFill>
              </a:ln>
            </c:spPr>
          </c:dPt>
          <c:dPt>
            <c:idx val="2"/>
            <c:spPr>
              <a:solidFill>
                <a:srgbClr val="9BBB59"/>
              </a:solidFill>
              <a:ln cmpd="sng" w="9525">
                <a:solidFill>
                  <a:srgbClr val="274E13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Resumen!$I$4:$I$6</c:f>
            </c:strRef>
          </c:cat>
          <c:val>
            <c:numRef>
              <c:f>Resumen!$J$4:$J$6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676275</xdr:colOff>
      <xdr:row>16</xdr:row>
      <xdr:rowOff>123825</xdr:rowOff>
    </xdr:from>
    <xdr:ext cx="5476875" cy="3390900"/>
    <xdr:graphicFrame>
      <xdr:nvGraphicFramePr>
        <xdr:cNvPr id="204556457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34</xdr:row>
      <xdr:rowOff>9525</xdr:rowOff>
    </xdr:from>
    <xdr:ext cx="5476875" cy="3390900"/>
    <xdr:graphicFrame>
      <xdr:nvGraphicFramePr>
        <xdr:cNvPr id="1444225504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504825</xdr:colOff>
      <xdr:row>34</xdr:row>
      <xdr:rowOff>9525</xdr:rowOff>
    </xdr:from>
    <xdr:ext cx="5476875" cy="3390900"/>
    <xdr:graphicFrame>
      <xdr:nvGraphicFramePr>
        <xdr:cNvPr id="1019291782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J28" displayName="Ingresos" name="Ingresos" id="1">
  <tableColumns count="10">
    <tableColumn name="Fecha" id="1"/>
    <tableColumn name="Cliente" id="2"/>
    <tableColumn name="Proyecto" id="3"/>
    <tableColumn name="Estado del proyecto" id="4"/>
    <tableColumn totalsRowFunction="custom" name="Monto ARS" id="5"/>
    <tableColumn totalsRowFunction="custom" name="Monto USD" id="6"/>
    <tableColumn name="Tipo de Ingreso" id="7"/>
    <tableColumn name="Reservado" id="8"/>
    <tableColumn totalsRowFunction="custom" name="Monto Reservado" id="9"/>
    <tableColumn name="Observaciones" id="10"/>
  </tableColumns>
  <tableStyleInfo name="Ingresos-style" showColumnStripes="0" showFirstColumn="1" showLastColumn="1" showRowStripes="1"/>
</table>
</file>

<file path=xl/tables/table2.xml><?xml version="1.0" encoding="utf-8"?>
<table xmlns="http://schemas.openxmlformats.org/spreadsheetml/2006/main" ref="A1:H202" displayName="Gastos" name="Gastos" id="2">
  <autoFilter ref="$A$1:$H$202"/>
  <tableColumns count="8">
    <tableColumn name="Fecha" id="1"/>
    <tableColumn name="Tipo de Gasto" id="2"/>
    <tableColumn name="Categoría" id="3"/>
    <tableColumn name="Proyecto (si aplica)" id="4"/>
    <tableColumn name="Estado del proyecto" id="5"/>
    <tableColumn name="Monto ARS" id="6"/>
    <tableColumn name="Monto USD" id="7"/>
    <tableColumn name="Observaciones" id="8"/>
  </tableColumns>
  <tableStyleInfo name="Gastos-style" showColumnStripes="0" showFirstColumn="1" showLastColumn="1" showRowStripes="1"/>
</table>
</file>

<file path=xl/tables/table3.xml><?xml version="1.0" encoding="utf-8"?>
<table xmlns="http://schemas.openxmlformats.org/spreadsheetml/2006/main" totalsRowCount="1" ref="D3:G16" displayName="Resumen_Gastos" name="Resumen_Gastos" id="3">
  <tableColumns count="4">
    <tableColumn totalsRowLabel="TOTAL" name="Categoría" id="1"/>
    <tableColumn totalsRowFunction="custom" name="Fijos" id="2"/>
    <tableColumn totalsRowFunction="custom" name="Variables (Activos)" id="3"/>
    <tableColumn totalsRowFunction="custom" name="Total" id="4"/>
  </tableColumns>
  <tableStyleInfo name="Resumen-style" showColumnStripes="0" showFirstColumn="1" showLastColumn="1" showRowStripes="1"/>
</table>
</file>

<file path=xl/tables/table4.xml><?xml version="1.0" encoding="utf-8"?>
<table xmlns="http://schemas.openxmlformats.org/spreadsheetml/2006/main" totalsRowCount="1" ref="I3:J7" displayName="Resumen_Ingresos" name="Resumen_Ingresos" id="4">
  <tableColumns count="2">
    <tableColumn totalsRowLabel="TOTAL" name="Tipo" id="1"/>
    <tableColumn totalsRowFunction="custom" name="Total" id="2"/>
  </tableColumns>
  <tableStyleInfo name="Resumen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57"/>
    <col customWidth="1" min="2" max="2" width="15.86"/>
    <col customWidth="1" min="3" max="3" width="18.57"/>
    <col customWidth="1" min="4" max="4" width="19.86"/>
    <col customWidth="1" min="5" max="5" width="16.0"/>
    <col customWidth="1" min="6" max="6" width="20.57"/>
    <col customWidth="1" min="7" max="7" width="24.71"/>
    <col customWidth="1" min="8" max="8" width="19.86"/>
    <col customWidth="1" min="9" max="9" width="22.57"/>
    <col customWidth="1" min="10" max="10" width="37.14"/>
    <col customWidth="1" min="11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3">
        <v>45909.0</v>
      </c>
      <c r="B2" s="4" t="s">
        <v>10</v>
      </c>
      <c r="C2" s="5" t="s">
        <v>11</v>
      </c>
      <c r="D2" s="6" t="s">
        <v>12</v>
      </c>
      <c r="E2" s="7">
        <v>150000.0</v>
      </c>
      <c r="F2" s="8">
        <v>108.3</v>
      </c>
      <c r="G2" s="6" t="s">
        <v>13</v>
      </c>
      <c r="H2" s="9"/>
      <c r="I2" s="10">
        <f t="shared" ref="I2:I27" si="1">IFERROR(E2*H2,0)</f>
        <v>0</v>
      </c>
    </row>
    <row r="3" ht="22.5" customHeight="1">
      <c r="A3" s="3">
        <v>45923.0</v>
      </c>
      <c r="B3" s="4" t="s">
        <v>10</v>
      </c>
      <c r="C3" s="5" t="s">
        <v>11</v>
      </c>
      <c r="D3" s="6" t="s">
        <v>12</v>
      </c>
      <c r="E3" s="7">
        <v>150000.0</v>
      </c>
      <c r="F3" s="8">
        <v>101.69</v>
      </c>
      <c r="G3" s="6" t="s">
        <v>14</v>
      </c>
      <c r="H3" s="9"/>
      <c r="I3" s="10">
        <f t="shared" si="1"/>
        <v>0</v>
      </c>
    </row>
    <row r="4" ht="22.5" customHeight="1">
      <c r="A4" s="3">
        <v>45923.0</v>
      </c>
      <c r="B4" s="4" t="s">
        <v>10</v>
      </c>
      <c r="C4" s="5" t="s">
        <v>11</v>
      </c>
      <c r="D4" s="6" t="s">
        <v>12</v>
      </c>
      <c r="E4" s="7">
        <v>360000.0</v>
      </c>
      <c r="F4" s="8">
        <v>244.07</v>
      </c>
      <c r="G4" s="6" t="s">
        <v>15</v>
      </c>
      <c r="H4" s="9"/>
      <c r="I4" s="10">
        <f t="shared" si="1"/>
        <v>0</v>
      </c>
      <c r="J4" s="5" t="s">
        <v>16</v>
      </c>
    </row>
    <row r="5" ht="22.5" customHeight="1">
      <c r="A5" s="3">
        <v>45939.0</v>
      </c>
      <c r="B5" s="4" t="s">
        <v>17</v>
      </c>
      <c r="C5" s="5" t="s">
        <v>18</v>
      </c>
      <c r="D5" s="6" t="s">
        <v>12</v>
      </c>
      <c r="E5" s="7">
        <v>180000.0</v>
      </c>
      <c r="F5" s="8">
        <v>122.03</v>
      </c>
      <c r="G5" s="6" t="s">
        <v>15</v>
      </c>
      <c r="H5" s="9"/>
      <c r="I5" s="10">
        <f t="shared" si="1"/>
        <v>0</v>
      </c>
    </row>
    <row r="6" ht="22.5" customHeight="1">
      <c r="A6" s="3">
        <v>45965.0</v>
      </c>
      <c r="B6" s="4" t="s">
        <v>10</v>
      </c>
      <c r="C6" s="5" t="s">
        <v>19</v>
      </c>
      <c r="D6" s="6" t="s">
        <v>12</v>
      </c>
      <c r="E6" s="7">
        <v>150000.0</v>
      </c>
      <c r="F6" s="8">
        <v>102.74</v>
      </c>
      <c r="G6" s="6" t="s">
        <v>14</v>
      </c>
      <c r="H6" s="9"/>
      <c r="I6" s="10">
        <f t="shared" si="1"/>
        <v>0</v>
      </c>
    </row>
    <row r="7" ht="22.5" customHeight="1">
      <c r="A7" s="3">
        <v>45965.0</v>
      </c>
      <c r="B7" s="4" t="s">
        <v>10</v>
      </c>
      <c r="C7" s="5" t="s">
        <v>19</v>
      </c>
      <c r="D7" s="6" t="s">
        <v>12</v>
      </c>
      <c r="E7" s="7">
        <v>180000.0</v>
      </c>
      <c r="F7" s="8">
        <v>123.29</v>
      </c>
      <c r="G7" s="6" t="s">
        <v>15</v>
      </c>
      <c r="H7" s="9"/>
      <c r="I7" s="10">
        <f t="shared" si="1"/>
        <v>0</v>
      </c>
      <c r="J7" s="5" t="s">
        <v>20</v>
      </c>
    </row>
    <row r="8" ht="22.5" customHeight="1">
      <c r="A8" s="3">
        <v>45972.0</v>
      </c>
      <c r="B8" s="4" t="s">
        <v>17</v>
      </c>
      <c r="C8" s="5" t="s">
        <v>18</v>
      </c>
      <c r="D8" s="6" t="s">
        <v>12</v>
      </c>
      <c r="E8" s="7">
        <v>180000.0</v>
      </c>
      <c r="F8" s="8">
        <v>126.32</v>
      </c>
      <c r="G8" s="6" t="s">
        <v>15</v>
      </c>
      <c r="H8" s="9"/>
      <c r="I8" s="10">
        <f t="shared" si="1"/>
        <v>0</v>
      </c>
    </row>
    <row r="9" ht="22.5" customHeight="1">
      <c r="A9" s="3">
        <v>45975.0</v>
      </c>
      <c r="B9" s="4" t="s">
        <v>21</v>
      </c>
      <c r="C9" s="5" t="s">
        <v>22</v>
      </c>
      <c r="D9" s="6" t="s">
        <v>12</v>
      </c>
      <c r="E9" s="7">
        <v>4800000.0</v>
      </c>
      <c r="F9" s="8">
        <v>3344.95</v>
      </c>
      <c r="G9" s="6" t="s">
        <v>13</v>
      </c>
      <c r="H9" s="9"/>
      <c r="I9" s="10">
        <f t="shared" si="1"/>
        <v>0</v>
      </c>
      <c r="J9" s="4" t="s">
        <v>23</v>
      </c>
    </row>
    <row r="10" ht="22.5" customHeight="1">
      <c r="A10" s="3">
        <v>45994.0</v>
      </c>
      <c r="B10" s="4" t="s">
        <v>24</v>
      </c>
      <c r="C10" s="5" t="s">
        <v>25</v>
      </c>
      <c r="D10" s="6" t="s">
        <v>12</v>
      </c>
      <c r="E10" s="7">
        <v>500000.0</v>
      </c>
      <c r="F10" s="8">
        <v>346.02</v>
      </c>
      <c r="G10" s="6" t="s">
        <v>13</v>
      </c>
      <c r="H10" s="9"/>
      <c r="I10" s="10">
        <f t="shared" si="1"/>
        <v>0</v>
      </c>
      <c r="J10" s="4" t="s">
        <v>26</v>
      </c>
    </row>
    <row r="11" ht="22.5" customHeight="1">
      <c r="A11" s="3">
        <v>45999.0</v>
      </c>
      <c r="B11" s="4" t="s">
        <v>27</v>
      </c>
      <c r="C11" s="5" t="s">
        <v>28</v>
      </c>
      <c r="D11" s="6" t="s">
        <v>12</v>
      </c>
      <c r="E11" s="7">
        <v>30000.0</v>
      </c>
      <c r="F11" s="8">
        <v>20.91</v>
      </c>
      <c r="G11" s="6" t="s">
        <v>14</v>
      </c>
      <c r="H11" s="9"/>
      <c r="I11" s="10">
        <f t="shared" si="1"/>
        <v>0</v>
      </c>
    </row>
    <row r="12" ht="22.5" customHeight="1">
      <c r="A12" s="3">
        <v>46011.0</v>
      </c>
      <c r="B12" s="4" t="s">
        <v>17</v>
      </c>
      <c r="C12" s="5" t="s">
        <v>18</v>
      </c>
      <c r="D12" s="6" t="s">
        <v>12</v>
      </c>
      <c r="E12" s="7">
        <v>195000.0</v>
      </c>
      <c r="F12" s="8">
        <v>131.31</v>
      </c>
      <c r="G12" s="6" t="s">
        <v>15</v>
      </c>
      <c r="H12" s="9"/>
      <c r="I12" s="10">
        <f t="shared" si="1"/>
        <v>0</v>
      </c>
    </row>
    <row r="13" ht="22.5" customHeight="1">
      <c r="A13" s="3">
        <v>46048.0</v>
      </c>
      <c r="B13" s="4" t="s">
        <v>29</v>
      </c>
      <c r="C13" s="5" t="s">
        <v>30</v>
      </c>
      <c r="D13" s="6" t="s">
        <v>12</v>
      </c>
      <c r="E13" s="7">
        <v>594000.0</v>
      </c>
      <c r="F13" s="8">
        <v>400.0</v>
      </c>
      <c r="G13" s="6" t="s">
        <v>13</v>
      </c>
      <c r="H13" s="9"/>
      <c r="I13" s="10">
        <f t="shared" si="1"/>
        <v>0</v>
      </c>
    </row>
    <row r="14" ht="22.5" customHeight="1">
      <c r="A14" s="3">
        <v>46058.0</v>
      </c>
      <c r="B14" s="4" t="s">
        <v>29</v>
      </c>
      <c r="C14" s="5" t="s">
        <v>30</v>
      </c>
      <c r="D14" s="6" t="s">
        <v>12</v>
      </c>
      <c r="E14" s="7">
        <v>582000.0</v>
      </c>
      <c r="F14" s="8">
        <v>400.0</v>
      </c>
      <c r="G14" s="6" t="s">
        <v>14</v>
      </c>
      <c r="H14" s="9"/>
      <c r="I14" s="10">
        <f t="shared" si="1"/>
        <v>0</v>
      </c>
      <c r="J14" s="4" t="s">
        <v>31</v>
      </c>
    </row>
    <row r="15" ht="22.5" customHeight="1">
      <c r="A15" s="3">
        <v>46058.0</v>
      </c>
      <c r="B15" s="4" t="s">
        <v>29</v>
      </c>
      <c r="C15" s="5" t="s">
        <v>30</v>
      </c>
      <c r="D15" s="6" t="s">
        <v>12</v>
      </c>
      <c r="E15" s="7">
        <v>698400.0</v>
      </c>
      <c r="F15" s="8">
        <v>480.0</v>
      </c>
      <c r="G15" s="11" t="s">
        <v>15</v>
      </c>
      <c r="H15" s="9"/>
      <c r="I15" s="10">
        <f t="shared" si="1"/>
        <v>0</v>
      </c>
      <c r="J15" s="5" t="s">
        <v>32</v>
      </c>
    </row>
    <row r="16" ht="22.5" customHeight="1">
      <c r="A16" s="3">
        <v>46072.0</v>
      </c>
      <c r="B16" s="12" t="s">
        <v>17</v>
      </c>
      <c r="C16" s="12" t="s">
        <v>18</v>
      </c>
      <c r="D16" s="13" t="s">
        <v>12</v>
      </c>
      <c r="E16" s="7">
        <v>390000.0</v>
      </c>
      <c r="F16" s="8">
        <v>276.6</v>
      </c>
      <c r="G16" s="11" t="s">
        <v>15</v>
      </c>
      <c r="H16" s="9"/>
      <c r="I16" s="10">
        <f t="shared" si="1"/>
        <v>0</v>
      </c>
      <c r="J16" s="4" t="s">
        <v>33</v>
      </c>
    </row>
    <row r="17" ht="22.5" customHeight="1">
      <c r="A17" s="14">
        <v>46080.0</v>
      </c>
      <c r="B17" s="12" t="s">
        <v>10</v>
      </c>
      <c r="C17" s="12" t="s">
        <v>11</v>
      </c>
      <c r="D17" s="13" t="s">
        <v>12</v>
      </c>
      <c r="E17" s="7">
        <v>720000.0</v>
      </c>
      <c r="F17" s="8">
        <v>505.26</v>
      </c>
      <c r="G17" s="11" t="s">
        <v>15</v>
      </c>
      <c r="H17" s="9"/>
      <c r="I17" s="10">
        <f t="shared" si="1"/>
        <v>0</v>
      </c>
      <c r="J17" s="4" t="s">
        <v>34</v>
      </c>
    </row>
    <row r="18" ht="22.5" customHeight="1">
      <c r="A18" s="14">
        <v>46073.0</v>
      </c>
      <c r="B18" s="12" t="s">
        <v>21</v>
      </c>
      <c r="C18" s="12" t="s">
        <v>35</v>
      </c>
      <c r="D18" s="13" t="s">
        <v>36</v>
      </c>
      <c r="E18" s="7">
        <v>235000.0</v>
      </c>
      <c r="F18" s="8">
        <v>165.5</v>
      </c>
      <c r="G18" s="11" t="s">
        <v>14</v>
      </c>
      <c r="H18" s="9"/>
      <c r="I18" s="10">
        <f t="shared" si="1"/>
        <v>0</v>
      </c>
      <c r="J18" s="4" t="s">
        <v>37</v>
      </c>
    </row>
    <row r="19" ht="22.5" customHeight="1">
      <c r="A19" s="14">
        <v>46079.0</v>
      </c>
      <c r="B19" s="12" t="s">
        <v>21</v>
      </c>
      <c r="C19" s="12" t="s">
        <v>22</v>
      </c>
      <c r="D19" s="13" t="s">
        <v>12</v>
      </c>
      <c r="E19" s="7">
        <v>3600000.0</v>
      </c>
      <c r="F19" s="8">
        <f>E19/1435.21</f>
        <v>2508.343727</v>
      </c>
      <c r="G19" s="11" t="s">
        <v>13</v>
      </c>
      <c r="H19" s="9"/>
      <c r="I19" s="10">
        <f t="shared" si="1"/>
        <v>0</v>
      </c>
    </row>
    <row r="20" ht="22.5" customHeight="1">
      <c r="A20" s="14">
        <v>46083.0</v>
      </c>
      <c r="B20" s="12"/>
      <c r="C20" s="12"/>
      <c r="D20" s="13"/>
      <c r="E20" s="7">
        <v>1165217.8765</v>
      </c>
      <c r="F20" s="8">
        <f>E20/1428.17</f>
        <v>815.8817763</v>
      </c>
      <c r="G20" s="11"/>
      <c r="H20" s="9"/>
      <c r="I20" s="10">
        <f t="shared" si="1"/>
        <v>0</v>
      </c>
      <c r="J20" s="4" t="s">
        <v>38</v>
      </c>
    </row>
    <row r="21" ht="15.75" customHeight="1">
      <c r="A21" s="14">
        <v>46085.0</v>
      </c>
      <c r="B21" s="12" t="s">
        <v>39</v>
      </c>
      <c r="C21" s="12" t="s">
        <v>30</v>
      </c>
      <c r="D21" s="13" t="s">
        <v>12</v>
      </c>
      <c r="E21" s="7">
        <v>350000.0</v>
      </c>
      <c r="F21" s="8">
        <f>E21/1434.29</f>
        <v>244.0231752</v>
      </c>
      <c r="G21" s="11" t="s">
        <v>13</v>
      </c>
      <c r="H21" s="9"/>
      <c r="I21" s="10">
        <f t="shared" si="1"/>
        <v>0</v>
      </c>
      <c r="J21" s="4" t="s">
        <v>40</v>
      </c>
    </row>
    <row r="22" ht="15.75" customHeight="1">
      <c r="A22" s="14">
        <v>46090.0</v>
      </c>
      <c r="B22" s="12" t="s">
        <v>41</v>
      </c>
      <c r="C22" s="12" t="s">
        <v>42</v>
      </c>
      <c r="D22" s="13" t="s">
        <v>12</v>
      </c>
      <c r="E22" s="7"/>
      <c r="F22" s="8">
        <v>465.0</v>
      </c>
      <c r="G22" s="11" t="s">
        <v>13</v>
      </c>
      <c r="H22" s="9"/>
      <c r="I22" s="10">
        <f t="shared" si="1"/>
        <v>0</v>
      </c>
      <c r="J22" s="4" t="s">
        <v>43</v>
      </c>
    </row>
    <row r="23" ht="15.75" customHeight="1">
      <c r="A23" s="14">
        <v>46093.0</v>
      </c>
      <c r="B23" s="12" t="s">
        <v>21</v>
      </c>
      <c r="C23" s="12" t="s">
        <v>44</v>
      </c>
      <c r="D23" s="11" t="s">
        <v>12</v>
      </c>
      <c r="E23" s="7">
        <v>2850000.0</v>
      </c>
      <c r="F23" s="8">
        <f>E23/1424</f>
        <v>2001.404494</v>
      </c>
      <c r="G23" s="11" t="s">
        <v>13</v>
      </c>
      <c r="H23" s="9"/>
      <c r="I23" s="10">
        <f t="shared" si="1"/>
        <v>0</v>
      </c>
      <c r="J23" s="4" t="s">
        <v>45</v>
      </c>
    </row>
    <row r="24" ht="15.75" customHeight="1">
      <c r="A24" s="14"/>
      <c r="B24" s="12"/>
      <c r="C24" s="12"/>
      <c r="D24" s="13"/>
      <c r="E24" s="7"/>
      <c r="F24" s="8"/>
      <c r="G24" s="11"/>
      <c r="H24" s="9"/>
      <c r="I24" s="10">
        <f t="shared" si="1"/>
        <v>0</v>
      </c>
    </row>
    <row r="25" ht="15.75" customHeight="1">
      <c r="A25" s="14"/>
      <c r="B25" s="12"/>
      <c r="C25" s="12"/>
      <c r="D25" s="13"/>
      <c r="E25" s="7"/>
      <c r="F25" s="8"/>
      <c r="G25" s="11"/>
      <c r="H25" s="9"/>
      <c r="I25" s="10">
        <f t="shared" si="1"/>
        <v>0</v>
      </c>
    </row>
    <row r="26" ht="15.75" customHeight="1">
      <c r="A26" s="14"/>
      <c r="B26" s="12"/>
      <c r="C26" s="12"/>
      <c r="D26" s="13"/>
      <c r="E26" s="7"/>
      <c r="F26" s="8"/>
      <c r="G26" s="11"/>
      <c r="H26" s="9"/>
      <c r="I26" s="10">
        <f t="shared" si="1"/>
        <v>0</v>
      </c>
    </row>
    <row r="27" ht="15.75" customHeight="1">
      <c r="A27" s="14"/>
      <c r="B27" s="12"/>
      <c r="C27" s="12"/>
      <c r="D27" s="13"/>
      <c r="E27" s="7"/>
      <c r="F27" s="8"/>
      <c r="G27" s="11"/>
      <c r="H27" s="9"/>
      <c r="I27" s="10">
        <f t="shared" si="1"/>
        <v>0</v>
      </c>
    </row>
    <row r="28" ht="15.75" customHeight="1">
      <c r="A28" s="15"/>
      <c r="B28" s="15"/>
      <c r="C28" s="15"/>
      <c r="D28" s="15"/>
      <c r="E28" s="16">
        <f>SUM(Ingresos[Monto ARS])</f>
        <v>18059617.88</v>
      </c>
      <c r="F28" s="17">
        <f>SUM(Ingresos[Monto USD])</f>
        <v>13033.64317</v>
      </c>
      <c r="G28" s="15"/>
      <c r="H28" s="15"/>
      <c r="I28" s="16">
        <f>SUM(Ingresos[Monto Reservado])</f>
        <v>0</v>
      </c>
      <c r="J28" s="15"/>
    </row>
    <row r="29" ht="15.75" customHeight="1">
      <c r="E29" s="18"/>
      <c r="G29" s="19"/>
      <c r="H29" s="18"/>
    </row>
    <row r="30" ht="15.75" customHeight="1">
      <c r="E30" s="18"/>
      <c r="G30" s="19"/>
      <c r="H30" s="18"/>
    </row>
    <row r="31" ht="15.75" customHeight="1">
      <c r="E31" s="18"/>
      <c r="G31" s="19"/>
      <c r="H31" s="18"/>
    </row>
    <row r="32" ht="15.75" customHeight="1">
      <c r="E32" s="18"/>
      <c r="G32" s="19"/>
      <c r="H32" s="18"/>
    </row>
    <row r="33" ht="15.75" customHeight="1">
      <c r="E33" s="18"/>
      <c r="G33" s="19"/>
      <c r="H33" s="18"/>
    </row>
    <row r="34" ht="15.75" customHeight="1">
      <c r="E34" s="18"/>
      <c r="G34" s="19"/>
      <c r="H34" s="18"/>
    </row>
    <row r="35" ht="15.75" customHeight="1">
      <c r="E35" s="18"/>
      <c r="G35" s="19"/>
      <c r="H35" s="18"/>
    </row>
    <row r="36" ht="15.75" customHeight="1">
      <c r="E36" s="18"/>
      <c r="G36" s="19"/>
      <c r="H36" s="18"/>
    </row>
    <row r="37" ht="15.75" customHeight="1">
      <c r="E37" s="18"/>
      <c r="G37" s="19"/>
      <c r="H37" s="18"/>
    </row>
    <row r="38" ht="15.75" customHeight="1">
      <c r="E38" s="18"/>
      <c r="G38" s="19"/>
      <c r="H38" s="18"/>
    </row>
    <row r="39" ht="15.75" customHeight="1">
      <c r="E39" s="18"/>
      <c r="G39" s="19"/>
      <c r="H39" s="18"/>
    </row>
    <row r="40" ht="15.75" customHeight="1">
      <c r="E40" s="18"/>
      <c r="G40" s="19"/>
      <c r="H40" s="18"/>
    </row>
    <row r="41" ht="15.75" customHeight="1">
      <c r="E41" s="18"/>
      <c r="G41" s="19"/>
      <c r="H41" s="18"/>
    </row>
    <row r="42" ht="15.75" customHeight="1">
      <c r="E42" s="18"/>
      <c r="G42" s="19"/>
      <c r="H42" s="18"/>
    </row>
    <row r="43" ht="15.75" customHeight="1">
      <c r="E43" s="18"/>
      <c r="G43" s="19"/>
      <c r="H43" s="18"/>
    </row>
    <row r="44" ht="15.75" customHeight="1">
      <c r="E44" s="18"/>
      <c r="G44" s="19"/>
      <c r="H44" s="18"/>
    </row>
    <row r="45" ht="15.75" customHeight="1">
      <c r="E45" s="18"/>
      <c r="G45" s="19"/>
      <c r="H45" s="18"/>
    </row>
    <row r="46" ht="15.75" customHeight="1">
      <c r="E46" s="18"/>
      <c r="G46" s="19"/>
      <c r="H46" s="18"/>
    </row>
    <row r="47" ht="15.75" customHeight="1">
      <c r="E47" s="18"/>
      <c r="G47" s="19"/>
      <c r="H47" s="18"/>
    </row>
    <row r="48" ht="15.75" customHeight="1">
      <c r="E48" s="18"/>
      <c r="G48" s="19"/>
      <c r="H48" s="18"/>
    </row>
    <row r="49" ht="15.75" customHeight="1">
      <c r="E49" s="18"/>
      <c r="G49" s="19"/>
      <c r="H49" s="18"/>
    </row>
    <row r="50" ht="15.75" customHeight="1">
      <c r="E50" s="18"/>
      <c r="G50" s="19"/>
      <c r="H50" s="18"/>
    </row>
    <row r="51" ht="15.75" customHeight="1">
      <c r="E51" s="18"/>
      <c r="G51" s="19"/>
      <c r="H51" s="18"/>
    </row>
    <row r="52" ht="15.75" customHeight="1">
      <c r="E52" s="18"/>
      <c r="G52" s="19"/>
      <c r="H52" s="18"/>
    </row>
    <row r="53" ht="15.75" customHeight="1">
      <c r="E53" s="18"/>
      <c r="G53" s="19"/>
      <c r="H53" s="18"/>
    </row>
    <row r="54" ht="15.75" customHeight="1">
      <c r="E54" s="18"/>
      <c r="G54" s="19"/>
      <c r="H54" s="18"/>
    </row>
    <row r="55" ht="15.75" customHeight="1">
      <c r="E55" s="18"/>
      <c r="G55" s="19"/>
      <c r="H55" s="18"/>
    </row>
    <row r="56" ht="15.75" customHeight="1">
      <c r="E56" s="18"/>
      <c r="G56" s="19"/>
      <c r="H56" s="18"/>
    </row>
    <row r="57" ht="15.75" customHeight="1">
      <c r="E57" s="18"/>
      <c r="G57" s="19"/>
      <c r="H57" s="18"/>
    </row>
    <row r="58" ht="15.75" customHeight="1">
      <c r="E58" s="18"/>
      <c r="G58" s="19"/>
      <c r="H58" s="18"/>
    </row>
    <row r="59" ht="15.75" customHeight="1">
      <c r="E59" s="18"/>
      <c r="G59" s="19"/>
      <c r="H59" s="18"/>
    </row>
    <row r="60" ht="15.75" customHeight="1">
      <c r="E60" s="18"/>
      <c r="G60" s="19"/>
      <c r="H60" s="18"/>
    </row>
    <row r="61" ht="15.75" customHeight="1">
      <c r="E61" s="18"/>
      <c r="G61" s="19"/>
      <c r="H61" s="18"/>
    </row>
    <row r="62" ht="15.75" customHeight="1">
      <c r="E62" s="18"/>
      <c r="G62" s="19"/>
      <c r="H62" s="18"/>
    </row>
    <row r="63" ht="15.75" customHeight="1">
      <c r="E63" s="18"/>
      <c r="G63" s="19"/>
      <c r="H63" s="18"/>
    </row>
    <row r="64" ht="15.75" customHeight="1">
      <c r="E64" s="18"/>
      <c r="G64" s="19"/>
      <c r="H64" s="18"/>
    </row>
    <row r="65" ht="15.75" customHeight="1">
      <c r="E65" s="18"/>
      <c r="G65" s="19"/>
      <c r="H65" s="18"/>
    </row>
    <row r="66" ht="15.75" customHeight="1">
      <c r="E66" s="18"/>
      <c r="G66" s="19"/>
      <c r="H66" s="18"/>
    </row>
    <row r="67" ht="15.75" customHeight="1">
      <c r="E67" s="18"/>
      <c r="G67" s="19"/>
      <c r="H67" s="18"/>
    </row>
    <row r="68" ht="15.75" customHeight="1">
      <c r="E68" s="18"/>
      <c r="G68" s="19"/>
      <c r="H68" s="18"/>
    </row>
    <row r="69" ht="15.75" customHeight="1">
      <c r="E69" s="18"/>
      <c r="G69" s="19"/>
      <c r="H69" s="18"/>
    </row>
    <row r="70" ht="15.75" customHeight="1">
      <c r="E70" s="18"/>
      <c r="G70" s="19"/>
      <c r="H70" s="18"/>
    </row>
    <row r="71" ht="15.75" customHeight="1">
      <c r="E71" s="18"/>
      <c r="G71" s="19"/>
      <c r="H71" s="18"/>
    </row>
    <row r="72" ht="15.75" customHeight="1">
      <c r="E72" s="18"/>
      <c r="G72" s="19"/>
      <c r="H72" s="18"/>
    </row>
    <row r="73" ht="15.75" customHeight="1">
      <c r="E73" s="18"/>
      <c r="G73" s="19"/>
      <c r="H73" s="18"/>
    </row>
    <row r="74" ht="15.75" customHeight="1">
      <c r="E74" s="18"/>
      <c r="G74" s="19"/>
      <c r="H74" s="18"/>
    </row>
    <row r="75" ht="15.75" customHeight="1">
      <c r="E75" s="18"/>
      <c r="G75" s="19"/>
      <c r="H75" s="18"/>
    </row>
    <row r="76" ht="15.75" customHeight="1">
      <c r="E76" s="18"/>
      <c r="G76" s="19"/>
      <c r="H76" s="18"/>
    </row>
    <row r="77" ht="15.75" customHeight="1">
      <c r="E77" s="18"/>
      <c r="G77" s="19"/>
      <c r="H77" s="18"/>
    </row>
    <row r="78" ht="15.75" customHeight="1">
      <c r="E78" s="18"/>
      <c r="G78" s="19"/>
      <c r="H78" s="18"/>
    </row>
    <row r="79" ht="15.75" customHeight="1">
      <c r="E79" s="18"/>
      <c r="G79" s="19"/>
      <c r="H79" s="18"/>
    </row>
    <row r="80" ht="15.75" customHeight="1">
      <c r="E80" s="18"/>
      <c r="G80" s="19"/>
      <c r="H80" s="18"/>
    </row>
    <row r="81" ht="15.75" customHeight="1">
      <c r="E81" s="18"/>
      <c r="G81" s="19"/>
      <c r="H81" s="18"/>
    </row>
    <row r="82" ht="15.75" customHeight="1">
      <c r="E82" s="18"/>
      <c r="G82" s="19"/>
      <c r="H82" s="18"/>
    </row>
    <row r="83" ht="15.75" customHeight="1">
      <c r="E83" s="18"/>
      <c r="G83" s="19"/>
      <c r="H83" s="18"/>
    </row>
    <row r="84" ht="15.75" customHeight="1">
      <c r="E84" s="18"/>
      <c r="G84" s="19"/>
      <c r="H84" s="18"/>
    </row>
    <row r="85" ht="15.75" customHeight="1">
      <c r="E85" s="18"/>
      <c r="G85" s="19"/>
      <c r="H85" s="18"/>
    </row>
    <row r="86" ht="15.75" customHeight="1">
      <c r="E86" s="18"/>
      <c r="G86" s="19"/>
      <c r="H86" s="18"/>
    </row>
    <row r="87" ht="15.75" customHeight="1">
      <c r="E87" s="18"/>
      <c r="G87" s="19"/>
      <c r="H87" s="18"/>
    </row>
    <row r="88" ht="15.75" customHeight="1">
      <c r="E88" s="18"/>
      <c r="G88" s="19"/>
      <c r="H88" s="18"/>
    </row>
    <row r="89" ht="15.75" customHeight="1">
      <c r="E89" s="18"/>
      <c r="G89" s="19"/>
      <c r="H89" s="18"/>
    </row>
    <row r="90" ht="15.75" customHeight="1">
      <c r="E90" s="18"/>
      <c r="G90" s="19"/>
      <c r="H90" s="18"/>
    </row>
    <row r="91" ht="15.75" customHeight="1">
      <c r="E91" s="18"/>
      <c r="G91" s="19"/>
      <c r="H91" s="18"/>
    </row>
    <row r="92" ht="15.75" customHeight="1">
      <c r="E92" s="18"/>
      <c r="G92" s="19"/>
      <c r="H92" s="18"/>
    </row>
    <row r="93" ht="15.75" customHeight="1">
      <c r="E93" s="18"/>
      <c r="G93" s="19"/>
      <c r="H93" s="18"/>
    </row>
    <row r="94" ht="15.75" customHeight="1">
      <c r="E94" s="18"/>
      <c r="G94" s="19"/>
      <c r="H94" s="18"/>
    </row>
    <row r="95" ht="15.75" customHeight="1">
      <c r="E95" s="18"/>
      <c r="G95" s="19"/>
      <c r="H95" s="18"/>
    </row>
    <row r="96" ht="15.75" customHeight="1">
      <c r="E96" s="18"/>
      <c r="G96" s="19"/>
      <c r="H96" s="18"/>
    </row>
    <row r="97" ht="15.75" customHeight="1">
      <c r="E97" s="18"/>
      <c r="G97" s="19"/>
      <c r="H97" s="18"/>
    </row>
    <row r="98" ht="15.75" customHeight="1">
      <c r="E98" s="18"/>
      <c r="G98" s="19"/>
      <c r="H98" s="18"/>
    </row>
    <row r="99" ht="15.75" customHeight="1">
      <c r="E99" s="18"/>
      <c r="G99" s="19"/>
      <c r="H99" s="18"/>
    </row>
    <row r="100" ht="15.75" customHeight="1">
      <c r="E100" s="18"/>
      <c r="G100" s="19"/>
      <c r="H100" s="18"/>
    </row>
    <row r="101" ht="15.75" customHeight="1">
      <c r="E101" s="18"/>
      <c r="G101" s="19"/>
      <c r="H101" s="18"/>
    </row>
    <row r="102" ht="15.75" customHeight="1">
      <c r="E102" s="18"/>
      <c r="G102" s="19"/>
      <c r="H102" s="18"/>
    </row>
    <row r="103" ht="15.75" customHeight="1">
      <c r="E103" s="18"/>
      <c r="G103" s="19"/>
      <c r="H103" s="18"/>
    </row>
    <row r="104" ht="15.75" customHeight="1">
      <c r="E104" s="18"/>
      <c r="G104" s="19"/>
      <c r="H104" s="18"/>
    </row>
    <row r="105" ht="15.75" customHeight="1">
      <c r="E105" s="18"/>
      <c r="G105" s="19"/>
      <c r="H105" s="18"/>
    </row>
    <row r="106" ht="15.75" customHeight="1">
      <c r="E106" s="18"/>
      <c r="G106" s="19"/>
      <c r="H106" s="18"/>
    </row>
    <row r="107" ht="15.75" customHeight="1">
      <c r="E107" s="18"/>
      <c r="G107" s="19"/>
      <c r="H107" s="18"/>
    </row>
    <row r="108" ht="15.75" customHeight="1">
      <c r="E108" s="18"/>
      <c r="G108" s="19"/>
      <c r="H108" s="18"/>
    </row>
    <row r="109" ht="15.75" customHeight="1">
      <c r="E109" s="18"/>
      <c r="G109" s="19"/>
      <c r="H109" s="18"/>
    </row>
    <row r="110" ht="15.75" customHeight="1">
      <c r="E110" s="18"/>
      <c r="G110" s="19"/>
      <c r="H110" s="18"/>
    </row>
    <row r="111" ht="15.75" customHeight="1">
      <c r="E111" s="18"/>
      <c r="G111" s="19"/>
      <c r="H111" s="18"/>
    </row>
    <row r="112" ht="15.75" customHeight="1">
      <c r="E112" s="18"/>
      <c r="G112" s="19"/>
      <c r="H112" s="18"/>
    </row>
    <row r="113" ht="15.75" customHeight="1">
      <c r="E113" s="18"/>
      <c r="G113" s="19"/>
      <c r="H113" s="18"/>
    </row>
    <row r="114" ht="15.75" customHeight="1">
      <c r="E114" s="18"/>
      <c r="G114" s="19"/>
      <c r="H114" s="18"/>
    </row>
    <row r="115" ht="15.75" customHeight="1">
      <c r="E115" s="18"/>
      <c r="G115" s="19"/>
      <c r="H115" s="18"/>
    </row>
    <row r="116" ht="15.75" customHeight="1">
      <c r="E116" s="18"/>
      <c r="G116" s="19"/>
      <c r="H116" s="18"/>
    </row>
    <row r="117" ht="15.75" customHeight="1">
      <c r="E117" s="18"/>
      <c r="G117" s="19"/>
      <c r="H117" s="18"/>
    </row>
    <row r="118" ht="15.75" customHeight="1">
      <c r="E118" s="18"/>
      <c r="G118" s="19"/>
      <c r="H118" s="18"/>
    </row>
    <row r="119" ht="15.75" customHeight="1">
      <c r="E119" s="18"/>
      <c r="G119" s="19"/>
      <c r="H119" s="18"/>
    </row>
    <row r="120" ht="15.75" customHeight="1">
      <c r="E120" s="18"/>
      <c r="G120" s="19"/>
      <c r="H120" s="18"/>
    </row>
    <row r="121" ht="15.75" customHeight="1">
      <c r="E121" s="18"/>
      <c r="G121" s="19"/>
      <c r="H121" s="18"/>
    </row>
    <row r="122" ht="15.75" customHeight="1">
      <c r="E122" s="18"/>
      <c r="G122" s="19"/>
      <c r="H122" s="18"/>
    </row>
    <row r="123" ht="15.75" customHeight="1">
      <c r="E123" s="18"/>
      <c r="G123" s="19"/>
      <c r="H123" s="18"/>
    </row>
    <row r="124" ht="15.75" customHeight="1">
      <c r="E124" s="18"/>
      <c r="G124" s="19"/>
      <c r="H124" s="18"/>
    </row>
    <row r="125" ht="15.75" customHeight="1">
      <c r="E125" s="18"/>
      <c r="G125" s="19"/>
      <c r="H125" s="18"/>
    </row>
    <row r="126" ht="15.75" customHeight="1">
      <c r="E126" s="18"/>
      <c r="G126" s="19"/>
      <c r="H126" s="18"/>
    </row>
    <row r="127" ht="15.75" customHeight="1">
      <c r="E127" s="18"/>
      <c r="G127" s="19"/>
      <c r="H127" s="18"/>
    </row>
    <row r="128" ht="15.75" customHeight="1">
      <c r="E128" s="18"/>
      <c r="G128" s="19"/>
      <c r="H128" s="18"/>
    </row>
    <row r="129" ht="15.75" customHeight="1">
      <c r="E129" s="18"/>
      <c r="G129" s="19"/>
      <c r="H129" s="18"/>
    </row>
    <row r="130" ht="15.75" customHeight="1">
      <c r="E130" s="18"/>
      <c r="G130" s="19"/>
      <c r="H130" s="18"/>
    </row>
    <row r="131" ht="15.75" customHeight="1">
      <c r="E131" s="18"/>
      <c r="G131" s="19"/>
      <c r="H131" s="18"/>
    </row>
    <row r="132" ht="15.75" customHeight="1">
      <c r="E132" s="18"/>
      <c r="G132" s="19"/>
      <c r="H132" s="18"/>
    </row>
    <row r="133" ht="15.75" customHeight="1">
      <c r="E133" s="18"/>
      <c r="G133" s="19"/>
      <c r="H133" s="18"/>
    </row>
    <row r="134" ht="15.75" customHeight="1">
      <c r="E134" s="18"/>
      <c r="G134" s="19"/>
      <c r="H134" s="18"/>
    </row>
    <row r="135" ht="15.75" customHeight="1">
      <c r="E135" s="18"/>
      <c r="G135" s="19"/>
      <c r="H135" s="18"/>
    </row>
    <row r="136" ht="15.75" customHeight="1">
      <c r="E136" s="18"/>
      <c r="G136" s="19"/>
      <c r="H136" s="18"/>
    </row>
    <row r="137" ht="15.75" customHeight="1">
      <c r="E137" s="18"/>
      <c r="G137" s="19"/>
      <c r="H137" s="18"/>
    </row>
    <row r="138" ht="15.75" customHeight="1">
      <c r="E138" s="18"/>
      <c r="G138" s="19"/>
      <c r="H138" s="18"/>
    </row>
    <row r="139" ht="15.75" customHeight="1">
      <c r="E139" s="18"/>
      <c r="G139" s="19"/>
      <c r="H139" s="18"/>
    </row>
    <row r="140" ht="15.75" customHeight="1">
      <c r="E140" s="18"/>
      <c r="G140" s="19"/>
      <c r="H140" s="18"/>
    </row>
    <row r="141" ht="15.75" customHeight="1">
      <c r="E141" s="18"/>
      <c r="G141" s="19"/>
      <c r="H141" s="18"/>
    </row>
    <row r="142" ht="15.75" customHeight="1">
      <c r="E142" s="18"/>
      <c r="G142" s="19"/>
      <c r="H142" s="18"/>
    </row>
    <row r="143" ht="15.75" customHeight="1">
      <c r="E143" s="18"/>
      <c r="G143" s="19"/>
      <c r="H143" s="18"/>
    </row>
    <row r="144" ht="15.75" customHeight="1">
      <c r="E144" s="18"/>
      <c r="G144" s="19"/>
      <c r="H144" s="18"/>
    </row>
    <row r="145" ht="15.75" customHeight="1">
      <c r="E145" s="18"/>
      <c r="G145" s="19"/>
      <c r="H145" s="18"/>
    </row>
    <row r="146" ht="15.75" customHeight="1">
      <c r="E146" s="18"/>
      <c r="G146" s="19"/>
      <c r="H146" s="18"/>
    </row>
    <row r="147" ht="15.75" customHeight="1">
      <c r="E147" s="18"/>
      <c r="G147" s="19"/>
      <c r="H147" s="18"/>
    </row>
    <row r="148" ht="15.75" customHeight="1">
      <c r="E148" s="18"/>
      <c r="G148" s="19"/>
      <c r="H148" s="18"/>
    </row>
    <row r="149" ht="15.75" customHeight="1">
      <c r="E149" s="18"/>
      <c r="G149" s="19"/>
      <c r="H149" s="18"/>
    </row>
    <row r="150" ht="15.75" customHeight="1">
      <c r="E150" s="18"/>
      <c r="G150" s="19"/>
      <c r="H150" s="18"/>
    </row>
    <row r="151" ht="15.75" customHeight="1">
      <c r="E151" s="18"/>
      <c r="G151" s="19"/>
      <c r="H151" s="18"/>
    </row>
    <row r="152" ht="15.75" customHeight="1">
      <c r="E152" s="18"/>
      <c r="G152" s="19"/>
      <c r="H152" s="18"/>
    </row>
    <row r="153" ht="15.75" customHeight="1">
      <c r="E153" s="18"/>
      <c r="G153" s="19"/>
      <c r="H153" s="18"/>
    </row>
    <row r="154" ht="15.75" customHeight="1">
      <c r="E154" s="18"/>
      <c r="G154" s="19"/>
      <c r="H154" s="18"/>
    </row>
    <row r="155" ht="15.75" customHeight="1">
      <c r="E155" s="18"/>
      <c r="G155" s="19"/>
      <c r="H155" s="18"/>
    </row>
    <row r="156" ht="15.75" customHeight="1">
      <c r="E156" s="18"/>
      <c r="G156" s="19"/>
      <c r="H156" s="18"/>
    </row>
    <row r="157" ht="15.75" customHeight="1">
      <c r="E157" s="18"/>
      <c r="G157" s="19"/>
      <c r="H157" s="18"/>
    </row>
    <row r="158" ht="15.75" customHeight="1">
      <c r="E158" s="18"/>
      <c r="G158" s="19"/>
      <c r="H158" s="18"/>
    </row>
    <row r="159" ht="15.75" customHeight="1">
      <c r="E159" s="18"/>
      <c r="G159" s="19"/>
      <c r="H159" s="18"/>
    </row>
    <row r="160" ht="15.75" customHeight="1">
      <c r="E160" s="18"/>
      <c r="G160" s="19"/>
      <c r="H160" s="18"/>
    </row>
    <row r="161" ht="15.75" customHeight="1">
      <c r="E161" s="18"/>
      <c r="G161" s="19"/>
      <c r="H161" s="18"/>
    </row>
    <row r="162" ht="15.75" customHeight="1">
      <c r="E162" s="18"/>
      <c r="G162" s="19"/>
      <c r="H162" s="18"/>
    </row>
    <row r="163" ht="15.75" customHeight="1">
      <c r="E163" s="18"/>
      <c r="G163" s="19"/>
      <c r="H163" s="18"/>
    </row>
    <row r="164" ht="15.75" customHeight="1">
      <c r="E164" s="18"/>
      <c r="G164" s="19"/>
      <c r="H164" s="18"/>
    </row>
    <row r="165" ht="15.75" customHeight="1">
      <c r="E165" s="18"/>
      <c r="G165" s="19"/>
      <c r="H165" s="18"/>
    </row>
    <row r="166" ht="15.75" customHeight="1">
      <c r="E166" s="18"/>
      <c r="G166" s="19"/>
      <c r="H166" s="18"/>
    </row>
    <row r="167" ht="15.75" customHeight="1">
      <c r="E167" s="18"/>
      <c r="G167" s="19"/>
      <c r="H167" s="18"/>
    </row>
    <row r="168" ht="15.75" customHeight="1">
      <c r="E168" s="18"/>
      <c r="G168" s="19"/>
      <c r="H168" s="18"/>
    </row>
    <row r="169" ht="15.75" customHeight="1">
      <c r="E169" s="18"/>
      <c r="G169" s="19"/>
      <c r="H169" s="18"/>
    </row>
    <row r="170" ht="15.75" customHeight="1">
      <c r="E170" s="18"/>
      <c r="G170" s="19"/>
      <c r="H170" s="18"/>
    </row>
    <row r="171" ht="15.75" customHeight="1">
      <c r="E171" s="18"/>
      <c r="G171" s="19"/>
      <c r="H171" s="18"/>
    </row>
    <row r="172" ht="15.75" customHeight="1">
      <c r="E172" s="18"/>
      <c r="G172" s="19"/>
      <c r="H172" s="18"/>
    </row>
    <row r="173" ht="15.75" customHeight="1">
      <c r="E173" s="18"/>
      <c r="G173" s="19"/>
      <c r="H173" s="18"/>
    </row>
    <row r="174" ht="15.75" customHeight="1">
      <c r="E174" s="18"/>
      <c r="G174" s="19"/>
      <c r="H174" s="18"/>
    </row>
    <row r="175" ht="15.75" customHeight="1">
      <c r="E175" s="18"/>
      <c r="G175" s="19"/>
      <c r="H175" s="18"/>
    </row>
    <row r="176" ht="15.75" customHeight="1">
      <c r="E176" s="18"/>
      <c r="G176" s="19"/>
      <c r="H176" s="18"/>
    </row>
    <row r="177" ht="15.75" customHeight="1">
      <c r="E177" s="18"/>
      <c r="G177" s="19"/>
      <c r="H177" s="18"/>
    </row>
    <row r="178" ht="15.75" customHeight="1">
      <c r="E178" s="18"/>
      <c r="G178" s="19"/>
      <c r="H178" s="18"/>
    </row>
    <row r="179" ht="15.75" customHeight="1">
      <c r="E179" s="18"/>
      <c r="G179" s="19"/>
      <c r="H179" s="18"/>
    </row>
    <row r="180" ht="15.75" customHeight="1">
      <c r="E180" s="18"/>
      <c r="G180" s="19"/>
      <c r="H180" s="18"/>
    </row>
    <row r="181" ht="15.75" customHeight="1">
      <c r="E181" s="18"/>
      <c r="G181" s="19"/>
      <c r="H181" s="18"/>
    </row>
    <row r="182" ht="15.75" customHeight="1">
      <c r="E182" s="18"/>
      <c r="G182" s="19"/>
      <c r="H182" s="18"/>
    </row>
    <row r="183" ht="15.75" customHeight="1">
      <c r="E183" s="18"/>
      <c r="G183" s="19"/>
      <c r="H183" s="18"/>
    </row>
    <row r="184" ht="15.75" customHeight="1">
      <c r="E184" s="18"/>
      <c r="G184" s="19"/>
      <c r="H184" s="18"/>
    </row>
    <row r="185" ht="15.75" customHeight="1">
      <c r="E185" s="18"/>
      <c r="G185" s="19"/>
      <c r="H185" s="18"/>
    </row>
    <row r="186" ht="15.75" customHeight="1">
      <c r="E186" s="18"/>
      <c r="G186" s="19"/>
      <c r="H186" s="18"/>
    </row>
    <row r="187" ht="15.75" customHeight="1">
      <c r="E187" s="18"/>
      <c r="G187" s="19"/>
      <c r="H187" s="18"/>
    </row>
    <row r="188" ht="15.75" customHeight="1">
      <c r="E188" s="18"/>
      <c r="G188" s="19"/>
      <c r="H188" s="18"/>
    </row>
    <row r="189" ht="15.75" customHeight="1">
      <c r="E189" s="18"/>
      <c r="G189" s="19"/>
      <c r="H189" s="18"/>
    </row>
    <row r="190" ht="15.75" customHeight="1">
      <c r="E190" s="18"/>
      <c r="G190" s="19"/>
      <c r="H190" s="18"/>
    </row>
    <row r="191" ht="15.75" customHeight="1">
      <c r="E191" s="18"/>
      <c r="G191" s="19"/>
      <c r="H191" s="18"/>
    </row>
    <row r="192" ht="15.75" customHeight="1">
      <c r="E192" s="18"/>
      <c r="G192" s="19"/>
      <c r="H192" s="18"/>
    </row>
    <row r="193" ht="15.75" customHeight="1">
      <c r="E193" s="18"/>
      <c r="G193" s="19"/>
      <c r="H193" s="18"/>
    </row>
    <row r="194" ht="15.75" customHeight="1">
      <c r="E194" s="18"/>
      <c r="G194" s="19"/>
      <c r="H194" s="18"/>
    </row>
    <row r="195" ht="15.75" customHeight="1">
      <c r="E195" s="18"/>
      <c r="G195" s="19"/>
      <c r="H195" s="18"/>
    </row>
    <row r="196" ht="15.75" customHeight="1">
      <c r="E196" s="18"/>
      <c r="G196" s="19"/>
      <c r="H196" s="18"/>
    </row>
    <row r="197" ht="15.75" customHeight="1">
      <c r="E197" s="18"/>
      <c r="G197" s="19"/>
      <c r="H197" s="18"/>
    </row>
    <row r="198" ht="15.75" customHeight="1">
      <c r="E198" s="18"/>
      <c r="G198" s="19"/>
      <c r="H198" s="18"/>
    </row>
    <row r="199" ht="15.75" customHeight="1">
      <c r="E199" s="18"/>
      <c r="G199" s="19"/>
      <c r="H199" s="18"/>
    </row>
    <row r="200" ht="15.75" customHeight="1">
      <c r="E200" s="18"/>
      <c r="G200" s="19"/>
      <c r="H200" s="18"/>
    </row>
    <row r="201" ht="15.75" customHeight="1">
      <c r="E201" s="18"/>
      <c r="G201" s="19"/>
      <c r="H201" s="18"/>
    </row>
    <row r="202" ht="15.75" customHeight="1">
      <c r="E202" s="18"/>
      <c r="G202" s="19"/>
      <c r="H202" s="18"/>
    </row>
    <row r="203" ht="15.75" customHeight="1">
      <c r="E203" s="18"/>
      <c r="G203" s="19"/>
      <c r="H203" s="18"/>
    </row>
    <row r="204" ht="15.75" customHeight="1">
      <c r="E204" s="18"/>
      <c r="G204" s="19"/>
      <c r="H204" s="18"/>
    </row>
    <row r="205" ht="15.75" customHeight="1">
      <c r="E205" s="18"/>
      <c r="G205" s="19"/>
      <c r="H205" s="18"/>
    </row>
    <row r="206" ht="15.75" customHeight="1">
      <c r="E206" s="18"/>
      <c r="G206" s="19"/>
      <c r="H206" s="18"/>
    </row>
    <row r="207" ht="15.75" customHeight="1">
      <c r="E207" s="18"/>
      <c r="G207" s="19"/>
      <c r="H207" s="18"/>
    </row>
    <row r="208" ht="15.75" customHeight="1">
      <c r="E208" s="18"/>
      <c r="G208" s="19"/>
      <c r="H208" s="18"/>
    </row>
    <row r="209" ht="15.75" customHeight="1">
      <c r="E209" s="18"/>
      <c r="G209" s="19"/>
      <c r="H209" s="18"/>
    </row>
    <row r="210" ht="15.75" customHeight="1">
      <c r="E210" s="18"/>
      <c r="G210" s="19"/>
      <c r="H210" s="18"/>
    </row>
    <row r="211" ht="15.75" customHeight="1">
      <c r="E211" s="18"/>
      <c r="G211" s="19"/>
      <c r="H211" s="18"/>
    </row>
    <row r="212" ht="15.75" customHeight="1">
      <c r="E212" s="18"/>
      <c r="G212" s="19"/>
      <c r="H212" s="18"/>
    </row>
    <row r="213" ht="15.75" customHeight="1">
      <c r="E213" s="18"/>
      <c r="G213" s="19"/>
      <c r="H213" s="18"/>
    </row>
    <row r="214" ht="15.75" customHeight="1">
      <c r="E214" s="18"/>
      <c r="G214" s="19"/>
      <c r="H214" s="18"/>
    </row>
    <row r="215" ht="15.75" customHeight="1">
      <c r="E215" s="18"/>
      <c r="G215" s="19"/>
      <c r="H215" s="18"/>
    </row>
    <row r="216" ht="15.75" customHeight="1">
      <c r="E216" s="18"/>
      <c r="G216" s="19"/>
      <c r="H216" s="18"/>
    </row>
    <row r="217" ht="15.75" customHeight="1">
      <c r="E217" s="18"/>
      <c r="G217" s="19"/>
      <c r="H217" s="18"/>
    </row>
    <row r="218" ht="15.75" customHeight="1">
      <c r="E218" s="18"/>
      <c r="G218" s="19"/>
      <c r="H218" s="18"/>
    </row>
    <row r="219" ht="15.75" customHeight="1">
      <c r="E219" s="18"/>
      <c r="G219" s="19"/>
      <c r="H219" s="18"/>
    </row>
    <row r="220" ht="15.75" customHeight="1">
      <c r="E220" s="18"/>
      <c r="G220" s="19"/>
      <c r="H220" s="18"/>
    </row>
    <row r="221" ht="15.75" customHeight="1">
      <c r="E221" s="18"/>
      <c r="G221" s="19"/>
      <c r="H221" s="18"/>
    </row>
    <row r="222" ht="15.75" customHeight="1">
      <c r="E222" s="18"/>
      <c r="G222" s="19"/>
      <c r="H222" s="18"/>
    </row>
    <row r="223" ht="15.75" customHeight="1">
      <c r="E223" s="18"/>
      <c r="G223" s="19"/>
      <c r="H223" s="18"/>
    </row>
    <row r="224" ht="15.75" customHeight="1">
      <c r="E224" s="18"/>
      <c r="G224" s="19"/>
      <c r="H224" s="18"/>
    </row>
    <row r="225" ht="15.75" customHeight="1">
      <c r="E225" s="18"/>
      <c r="G225" s="19"/>
      <c r="H225" s="18"/>
    </row>
    <row r="226" ht="15.75" customHeight="1">
      <c r="E226" s="18"/>
      <c r="G226" s="19"/>
      <c r="H226" s="18"/>
    </row>
    <row r="227" ht="15.75" customHeight="1">
      <c r="E227" s="18"/>
      <c r="G227" s="19"/>
      <c r="H227" s="18"/>
    </row>
    <row r="228" ht="15.75" customHeight="1">
      <c r="E228" s="18"/>
      <c r="G228" s="19"/>
      <c r="H228" s="18"/>
    </row>
    <row r="229" ht="15.75" customHeight="1">
      <c r="E229" s="18"/>
      <c r="G229" s="19"/>
      <c r="H229" s="18"/>
    </row>
    <row r="230" ht="15.75" customHeight="1">
      <c r="E230" s="18"/>
      <c r="G230" s="19"/>
      <c r="H230" s="18"/>
    </row>
    <row r="231" ht="15.75" customHeight="1">
      <c r="E231" s="18"/>
      <c r="G231" s="19"/>
      <c r="H231" s="18"/>
    </row>
    <row r="232" ht="15.75" customHeight="1">
      <c r="E232" s="18"/>
      <c r="G232" s="19"/>
      <c r="H232" s="18"/>
    </row>
    <row r="233" ht="15.75" customHeight="1">
      <c r="E233" s="18"/>
      <c r="G233" s="19"/>
      <c r="H233" s="18"/>
    </row>
    <row r="234" ht="15.75" customHeight="1">
      <c r="E234" s="18"/>
      <c r="G234" s="19"/>
      <c r="H234" s="18"/>
    </row>
    <row r="235" ht="15.75" customHeight="1">
      <c r="E235" s="18"/>
      <c r="G235" s="19"/>
      <c r="H235" s="18"/>
    </row>
    <row r="236" ht="15.75" customHeight="1">
      <c r="E236" s="18"/>
      <c r="G236" s="19"/>
      <c r="H236" s="18"/>
    </row>
    <row r="237" ht="15.75" customHeight="1">
      <c r="E237" s="18"/>
      <c r="G237" s="19"/>
      <c r="H237" s="18"/>
    </row>
    <row r="238" ht="15.75" customHeight="1">
      <c r="E238" s="18"/>
      <c r="G238" s="19"/>
      <c r="H238" s="18"/>
    </row>
    <row r="239" ht="15.75" customHeight="1">
      <c r="E239" s="18"/>
      <c r="G239" s="19"/>
      <c r="H239" s="18"/>
    </row>
    <row r="240" ht="15.75" customHeight="1">
      <c r="E240" s="18"/>
      <c r="G240" s="19"/>
      <c r="H240" s="18"/>
    </row>
    <row r="241" ht="15.75" customHeight="1">
      <c r="E241" s="18"/>
      <c r="G241" s="19"/>
      <c r="H241" s="18"/>
    </row>
    <row r="242" ht="15.75" customHeight="1">
      <c r="E242" s="18"/>
      <c r="G242" s="19"/>
      <c r="H242" s="18"/>
    </row>
    <row r="243" ht="15.75" customHeight="1">
      <c r="E243" s="18"/>
      <c r="G243" s="19"/>
      <c r="H243" s="18"/>
    </row>
    <row r="244" ht="15.75" customHeight="1">
      <c r="E244" s="18"/>
      <c r="G244" s="19"/>
      <c r="H244" s="18"/>
    </row>
    <row r="245" ht="15.75" customHeight="1">
      <c r="E245" s="18"/>
      <c r="G245" s="19"/>
      <c r="H245" s="18"/>
    </row>
    <row r="246" ht="15.75" customHeight="1">
      <c r="E246" s="18"/>
      <c r="G246" s="19"/>
      <c r="H246" s="18"/>
    </row>
    <row r="247" ht="15.75" customHeight="1">
      <c r="E247" s="18"/>
      <c r="G247" s="19"/>
      <c r="H247" s="18"/>
    </row>
    <row r="248" ht="15.75" customHeight="1">
      <c r="E248" s="18"/>
      <c r="G248" s="19"/>
      <c r="H248" s="18"/>
    </row>
    <row r="249" ht="15.75" customHeight="1">
      <c r="E249" s="18"/>
      <c r="G249" s="19"/>
      <c r="H249" s="18"/>
    </row>
    <row r="250" ht="15.75" customHeight="1">
      <c r="E250" s="18"/>
      <c r="G250" s="19"/>
      <c r="H250" s="18"/>
    </row>
    <row r="251" ht="15.75" customHeight="1">
      <c r="E251" s="18"/>
      <c r="G251" s="19"/>
      <c r="H251" s="18"/>
    </row>
    <row r="252" ht="15.75" customHeight="1">
      <c r="E252" s="18"/>
      <c r="G252" s="19"/>
      <c r="H252" s="18"/>
    </row>
    <row r="253" ht="15.75" customHeight="1">
      <c r="E253" s="18"/>
      <c r="G253" s="19"/>
      <c r="H253" s="18"/>
    </row>
    <row r="254" ht="15.75" customHeight="1">
      <c r="E254" s="18"/>
      <c r="G254" s="19"/>
      <c r="H254" s="18"/>
    </row>
    <row r="255" ht="15.75" customHeight="1">
      <c r="E255" s="18"/>
      <c r="G255" s="19"/>
      <c r="H255" s="18"/>
    </row>
    <row r="256" ht="15.75" customHeight="1">
      <c r="E256" s="18"/>
      <c r="G256" s="19"/>
      <c r="H256" s="18"/>
    </row>
    <row r="257" ht="15.75" customHeight="1">
      <c r="E257" s="18"/>
      <c r="G257" s="19"/>
      <c r="H257" s="18"/>
    </row>
    <row r="258" ht="15.75" customHeight="1">
      <c r="E258" s="18"/>
      <c r="G258" s="19"/>
      <c r="H258" s="18"/>
    </row>
    <row r="259" ht="15.75" customHeight="1">
      <c r="E259" s="18"/>
      <c r="G259" s="19"/>
      <c r="H259" s="18"/>
    </row>
    <row r="260" ht="15.75" customHeight="1">
      <c r="E260" s="18"/>
      <c r="G260" s="19"/>
      <c r="H260" s="18"/>
    </row>
    <row r="261" ht="15.75" customHeight="1">
      <c r="E261" s="18"/>
      <c r="G261" s="19"/>
      <c r="H261" s="18"/>
    </row>
    <row r="262" ht="15.75" customHeight="1">
      <c r="E262" s="18"/>
      <c r="G262" s="19"/>
      <c r="H262" s="18"/>
    </row>
    <row r="263" ht="15.75" customHeight="1">
      <c r="E263" s="18"/>
      <c r="G263" s="19"/>
      <c r="H263" s="18"/>
    </row>
    <row r="264" ht="15.75" customHeight="1">
      <c r="E264" s="18"/>
      <c r="G264" s="19"/>
      <c r="H264" s="18"/>
    </row>
    <row r="265" ht="15.75" customHeight="1">
      <c r="E265" s="18"/>
      <c r="G265" s="19"/>
      <c r="H265" s="18"/>
    </row>
    <row r="266" ht="15.75" customHeight="1">
      <c r="E266" s="18"/>
      <c r="G266" s="19"/>
      <c r="H266" s="18"/>
    </row>
    <row r="267" ht="15.75" customHeight="1">
      <c r="E267" s="18"/>
      <c r="G267" s="19"/>
      <c r="H267" s="18"/>
    </row>
    <row r="268" ht="15.75" customHeight="1">
      <c r="E268" s="18"/>
      <c r="G268" s="19"/>
      <c r="H268" s="18"/>
    </row>
    <row r="269" ht="15.75" customHeight="1">
      <c r="E269" s="18"/>
      <c r="G269" s="19"/>
      <c r="H269" s="18"/>
    </row>
    <row r="270" ht="15.75" customHeight="1">
      <c r="E270" s="18"/>
      <c r="G270" s="19"/>
      <c r="H270" s="18"/>
    </row>
    <row r="271" ht="15.75" customHeight="1">
      <c r="E271" s="18"/>
      <c r="G271" s="19"/>
      <c r="H271" s="18"/>
    </row>
    <row r="272" ht="15.75" customHeight="1">
      <c r="E272" s="18"/>
      <c r="G272" s="19"/>
      <c r="H272" s="18"/>
    </row>
    <row r="273" ht="15.75" customHeight="1">
      <c r="E273" s="18"/>
      <c r="G273" s="19"/>
      <c r="H273" s="18"/>
    </row>
    <row r="274" ht="15.75" customHeight="1">
      <c r="E274" s="18"/>
      <c r="G274" s="19"/>
      <c r="H274" s="18"/>
    </row>
    <row r="275" ht="15.75" customHeight="1">
      <c r="E275" s="18"/>
      <c r="G275" s="19"/>
      <c r="H275" s="18"/>
    </row>
    <row r="276" ht="15.75" customHeight="1">
      <c r="E276" s="18"/>
      <c r="G276" s="19"/>
      <c r="H276" s="18"/>
    </row>
    <row r="277" ht="15.75" customHeight="1">
      <c r="E277" s="18"/>
      <c r="G277" s="19"/>
      <c r="H277" s="18"/>
    </row>
    <row r="278" ht="15.75" customHeight="1">
      <c r="E278" s="18"/>
      <c r="G278" s="19"/>
      <c r="H278" s="18"/>
    </row>
    <row r="279" ht="15.75" customHeight="1">
      <c r="E279" s="18"/>
      <c r="G279" s="19"/>
      <c r="H279" s="18"/>
    </row>
    <row r="280" ht="15.75" customHeight="1">
      <c r="E280" s="18"/>
      <c r="G280" s="19"/>
      <c r="H280" s="18"/>
    </row>
    <row r="281" ht="15.75" customHeight="1">
      <c r="E281" s="18"/>
      <c r="G281" s="19"/>
      <c r="H281" s="18"/>
    </row>
    <row r="282" ht="15.75" customHeight="1">
      <c r="E282" s="18"/>
      <c r="G282" s="19"/>
      <c r="H282" s="18"/>
    </row>
    <row r="283" ht="15.75" customHeight="1">
      <c r="E283" s="18"/>
      <c r="G283" s="19"/>
      <c r="H283" s="18"/>
    </row>
    <row r="284" ht="15.75" customHeight="1">
      <c r="E284" s="18"/>
      <c r="G284" s="19"/>
      <c r="H284" s="18"/>
    </row>
    <row r="285" ht="15.75" customHeight="1">
      <c r="E285" s="18"/>
      <c r="G285" s="19"/>
      <c r="H285" s="18"/>
    </row>
    <row r="286" ht="15.75" customHeight="1">
      <c r="E286" s="18"/>
      <c r="G286" s="19"/>
      <c r="H286" s="18"/>
    </row>
    <row r="287" ht="15.75" customHeight="1">
      <c r="E287" s="18"/>
      <c r="G287" s="19"/>
      <c r="H287" s="18"/>
    </row>
    <row r="288" ht="15.75" customHeight="1">
      <c r="E288" s="18"/>
      <c r="G288" s="19"/>
      <c r="H288" s="18"/>
    </row>
    <row r="289" ht="15.75" customHeight="1">
      <c r="E289" s="18"/>
      <c r="G289" s="19"/>
      <c r="H289" s="18"/>
    </row>
    <row r="290" ht="15.75" customHeight="1">
      <c r="E290" s="18"/>
      <c r="G290" s="19"/>
      <c r="H290" s="18"/>
    </row>
    <row r="291" ht="15.75" customHeight="1">
      <c r="E291" s="18"/>
      <c r="G291" s="19"/>
      <c r="H291" s="18"/>
    </row>
    <row r="292" ht="15.75" customHeight="1">
      <c r="E292" s="18"/>
      <c r="G292" s="19"/>
      <c r="H292" s="18"/>
    </row>
    <row r="293" ht="15.75" customHeight="1">
      <c r="E293" s="18"/>
      <c r="G293" s="19"/>
      <c r="H293" s="18"/>
    </row>
    <row r="294" ht="15.75" customHeight="1">
      <c r="E294" s="18"/>
      <c r="G294" s="19"/>
      <c r="H294" s="18"/>
    </row>
    <row r="295" ht="15.75" customHeight="1">
      <c r="E295" s="18"/>
      <c r="G295" s="19"/>
      <c r="H295" s="18"/>
    </row>
    <row r="296" ht="15.75" customHeight="1">
      <c r="E296" s="18"/>
      <c r="G296" s="19"/>
      <c r="H296" s="18"/>
    </row>
    <row r="297" ht="15.75" customHeight="1">
      <c r="E297" s="18"/>
      <c r="G297" s="19"/>
      <c r="H297" s="18"/>
    </row>
    <row r="298" ht="15.75" customHeight="1">
      <c r="E298" s="18"/>
      <c r="G298" s="19"/>
      <c r="H298" s="18"/>
    </row>
    <row r="299" ht="15.75" customHeight="1">
      <c r="E299" s="18"/>
      <c r="G299" s="19"/>
      <c r="H299" s="18"/>
    </row>
    <row r="300" ht="15.75" customHeight="1">
      <c r="E300" s="18"/>
      <c r="G300" s="19"/>
      <c r="H300" s="18"/>
    </row>
    <row r="301" ht="15.75" customHeight="1">
      <c r="E301" s="18"/>
      <c r="G301" s="19"/>
      <c r="H301" s="18"/>
    </row>
    <row r="302" ht="15.75" customHeight="1">
      <c r="E302" s="18"/>
      <c r="G302" s="19"/>
      <c r="H302" s="18"/>
    </row>
    <row r="303" ht="15.75" customHeight="1">
      <c r="E303" s="18"/>
      <c r="G303" s="19"/>
      <c r="H303" s="18"/>
    </row>
    <row r="304" ht="15.75" customHeight="1">
      <c r="E304" s="18"/>
      <c r="G304" s="19"/>
      <c r="H304" s="18"/>
    </row>
    <row r="305" ht="15.75" customHeight="1">
      <c r="E305" s="18"/>
      <c r="G305" s="19"/>
      <c r="H305" s="18"/>
    </row>
    <row r="306" ht="15.75" customHeight="1">
      <c r="E306" s="18"/>
      <c r="G306" s="19"/>
      <c r="H306" s="18"/>
    </row>
    <row r="307" ht="15.75" customHeight="1">
      <c r="E307" s="18"/>
      <c r="G307" s="19"/>
      <c r="H307" s="18"/>
    </row>
    <row r="308" ht="15.75" customHeight="1">
      <c r="E308" s="18"/>
      <c r="G308" s="19"/>
      <c r="H308" s="18"/>
    </row>
    <row r="309" ht="15.75" customHeight="1">
      <c r="E309" s="18"/>
      <c r="G309" s="19"/>
      <c r="H309" s="18"/>
    </row>
    <row r="310" ht="15.75" customHeight="1">
      <c r="E310" s="18"/>
      <c r="G310" s="19"/>
      <c r="H310" s="18"/>
    </row>
    <row r="311" ht="15.75" customHeight="1">
      <c r="E311" s="18"/>
      <c r="G311" s="19"/>
      <c r="H311" s="18"/>
    </row>
    <row r="312" ht="15.75" customHeight="1">
      <c r="E312" s="18"/>
      <c r="G312" s="19"/>
      <c r="H312" s="18"/>
    </row>
    <row r="313" ht="15.75" customHeight="1">
      <c r="E313" s="18"/>
      <c r="G313" s="19"/>
      <c r="H313" s="18"/>
    </row>
    <row r="314" ht="15.75" customHeight="1">
      <c r="E314" s="18"/>
      <c r="G314" s="19"/>
      <c r="H314" s="18"/>
    </row>
    <row r="315" ht="15.75" customHeight="1">
      <c r="E315" s="18"/>
      <c r="G315" s="19"/>
      <c r="H315" s="18"/>
    </row>
    <row r="316" ht="15.75" customHeight="1">
      <c r="E316" s="18"/>
      <c r="G316" s="19"/>
      <c r="H316" s="18"/>
    </row>
    <row r="317" ht="15.75" customHeight="1">
      <c r="E317" s="18"/>
      <c r="G317" s="19"/>
      <c r="H317" s="18"/>
    </row>
    <row r="318" ht="15.75" customHeight="1">
      <c r="E318" s="18"/>
      <c r="G318" s="19"/>
      <c r="H318" s="18"/>
    </row>
    <row r="319" ht="15.75" customHeight="1">
      <c r="E319" s="18"/>
      <c r="G319" s="19"/>
      <c r="H319" s="18"/>
    </row>
    <row r="320" ht="15.75" customHeight="1">
      <c r="E320" s="18"/>
      <c r="G320" s="19"/>
      <c r="H320" s="18"/>
    </row>
    <row r="321" ht="15.75" customHeight="1">
      <c r="E321" s="18"/>
      <c r="G321" s="19"/>
      <c r="H321" s="18"/>
    </row>
    <row r="322" ht="15.75" customHeight="1">
      <c r="E322" s="18"/>
      <c r="G322" s="19"/>
      <c r="H322" s="18"/>
    </row>
    <row r="323" ht="15.75" customHeight="1">
      <c r="E323" s="18"/>
      <c r="G323" s="19"/>
      <c r="H323" s="18"/>
    </row>
    <row r="324" ht="15.75" customHeight="1">
      <c r="E324" s="18"/>
      <c r="G324" s="19"/>
      <c r="H324" s="18"/>
    </row>
    <row r="325" ht="15.75" customHeight="1">
      <c r="E325" s="18"/>
      <c r="G325" s="19"/>
      <c r="H325" s="18"/>
    </row>
    <row r="326" ht="15.75" customHeight="1">
      <c r="E326" s="18"/>
      <c r="G326" s="19"/>
      <c r="H326" s="18"/>
    </row>
    <row r="327" ht="15.75" customHeight="1">
      <c r="E327" s="18"/>
      <c r="G327" s="19"/>
      <c r="H327" s="18"/>
    </row>
    <row r="328" ht="15.75" customHeight="1">
      <c r="E328" s="18"/>
      <c r="G328" s="19"/>
      <c r="H328" s="18"/>
    </row>
    <row r="329" ht="15.75" customHeight="1">
      <c r="E329" s="18"/>
      <c r="G329" s="19"/>
      <c r="H329" s="18"/>
    </row>
    <row r="330" ht="15.75" customHeight="1">
      <c r="E330" s="18"/>
      <c r="G330" s="19"/>
      <c r="H330" s="18"/>
    </row>
    <row r="331" ht="15.75" customHeight="1">
      <c r="E331" s="18"/>
      <c r="G331" s="19"/>
      <c r="H331" s="18"/>
    </row>
    <row r="332" ht="15.75" customHeight="1">
      <c r="E332" s="18"/>
      <c r="G332" s="19"/>
      <c r="H332" s="18"/>
    </row>
    <row r="333" ht="15.75" customHeight="1">
      <c r="E333" s="18"/>
      <c r="G333" s="19"/>
      <c r="H333" s="18"/>
    </row>
    <row r="334" ht="15.75" customHeight="1">
      <c r="E334" s="18"/>
      <c r="G334" s="19"/>
      <c r="H334" s="18"/>
    </row>
    <row r="335" ht="15.75" customHeight="1">
      <c r="E335" s="18"/>
      <c r="G335" s="19"/>
      <c r="H335" s="18"/>
    </row>
    <row r="336" ht="15.75" customHeight="1">
      <c r="E336" s="18"/>
      <c r="G336" s="19"/>
      <c r="H336" s="18"/>
    </row>
    <row r="337" ht="15.75" customHeight="1">
      <c r="E337" s="18"/>
      <c r="G337" s="19"/>
      <c r="H337" s="18"/>
    </row>
    <row r="338" ht="15.75" customHeight="1">
      <c r="E338" s="18"/>
      <c r="G338" s="19"/>
      <c r="H338" s="18"/>
    </row>
    <row r="339" ht="15.75" customHeight="1">
      <c r="E339" s="18"/>
      <c r="G339" s="19"/>
      <c r="H339" s="18"/>
    </row>
    <row r="340" ht="15.75" customHeight="1">
      <c r="E340" s="18"/>
      <c r="G340" s="19"/>
      <c r="H340" s="18"/>
    </row>
    <row r="341" ht="15.75" customHeight="1">
      <c r="E341" s="18"/>
      <c r="G341" s="19"/>
      <c r="H341" s="18"/>
    </row>
    <row r="342" ht="15.75" customHeight="1">
      <c r="E342" s="18"/>
      <c r="G342" s="19"/>
      <c r="H342" s="18"/>
    </row>
    <row r="343" ht="15.75" customHeight="1">
      <c r="E343" s="18"/>
      <c r="G343" s="19"/>
      <c r="H343" s="18"/>
    </row>
    <row r="344" ht="15.75" customHeight="1">
      <c r="E344" s="18"/>
      <c r="G344" s="19"/>
      <c r="H344" s="18"/>
    </row>
    <row r="345" ht="15.75" customHeight="1">
      <c r="E345" s="18"/>
      <c r="G345" s="19"/>
      <c r="H345" s="18"/>
    </row>
    <row r="346" ht="15.75" customHeight="1">
      <c r="E346" s="18"/>
      <c r="G346" s="19"/>
      <c r="H346" s="18"/>
    </row>
    <row r="347" ht="15.75" customHeight="1">
      <c r="E347" s="18"/>
      <c r="G347" s="19"/>
      <c r="H347" s="18"/>
    </row>
    <row r="348" ht="15.75" customHeight="1">
      <c r="E348" s="18"/>
      <c r="G348" s="19"/>
      <c r="H348" s="18"/>
    </row>
    <row r="349" ht="15.75" customHeight="1">
      <c r="E349" s="18"/>
      <c r="G349" s="19"/>
      <c r="H349" s="18"/>
    </row>
    <row r="350" ht="15.75" customHeight="1">
      <c r="E350" s="18"/>
      <c r="G350" s="19"/>
      <c r="H350" s="18"/>
    </row>
    <row r="351" ht="15.75" customHeight="1">
      <c r="E351" s="18"/>
      <c r="G351" s="19"/>
      <c r="H351" s="18"/>
    </row>
    <row r="352" ht="15.75" customHeight="1">
      <c r="E352" s="18"/>
      <c r="G352" s="19"/>
      <c r="H352" s="18"/>
    </row>
    <row r="353" ht="15.75" customHeight="1">
      <c r="E353" s="18"/>
      <c r="G353" s="19"/>
      <c r="H353" s="18"/>
    </row>
    <row r="354" ht="15.75" customHeight="1">
      <c r="E354" s="18"/>
      <c r="G354" s="19"/>
      <c r="H354" s="18"/>
    </row>
    <row r="355" ht="15.75" customHeight="1">
      <c r="E355" s="18"/>
      <c r="G355" s="19"/>
      <c r="H355" s="18"/>
    </row>
    <row r="356" ht="15.75" customHeight="1">
      <c r="E356" s="18"/>
      <c r="G356" s="19"/>
      <c r="H356" s="18"/>
    </row>
    <row r="357" ht="15.75" customHeight="1">
      <c r="E357" s="18"/>
      <c r="G357" s="19"/>
      <c r="H357" s="18"/>
    </row>
    <row r="358" ht="15.75" customHeight="1">
      <c r="E358" s="18"/>
      <c r="G358" s="19"/>
      <c r="H358" s="18"/>
    </row>
    <row r="359" ht="15.75" customHeight="1">
      <c r="E359" s="18"/>
      <c r="G359" s="19"/>
      <c r="H359" s="18"/>
    </row>
    <row r="360" ht="15.75" customHeight="1">
      <c r="E360" s="18"/>
      <c r="G360" s="19"/>
      <c r="H360" s="18"/>
    </row>
    <row r="361" ht="15.75" customHeight="1">
      <c r="E361" s="18"/>
      <c r="G361" s="19"/>
      <c r="H361" s="18"/>
    </row>
    <row r="362" ht="15.75" customHeight="1">
      <c r="E362" s="18"/>
      <c r="G362" s="19"/>
      <c r="H362" s="18"/>
    </row>
    <row r="363" ht="15.75" customHeight="1">
      <c r="E363" s="18"/>
      <c r="G363" s="19"/>
      <c r="H363" s="18"/>
    </row>
    <row r="364" ht="15.75" customHeight="1">
      <c r="E364" s="18"/>
      <c r="G364" s="19"/>
      <c r="H364" s="18"/>
    </row>
    <row r="365" ht="15.75" customHeight="1">
      <c r="E365" s="18"/>
      <c r="G365" s="19"/>
      <c r="H365" s="18"/>
    </row>
    <row r="366" ht="15.75" customHeight="1">
      <c r="E366" s="18"/>
      <c r="G366" s="19"/>
      <c r="H366" s="18"/>
    </row>
    <row r="367" ht="15.75" customHeight="1">
      <c r="E367" s="18"/>
      <c r="G367" s="19"/>
      <c r="H367" s="18"/>
    </row>
    <row r="368" ht="15.75" customHeight="1">
      <c r="E368" s="18"/>
      <c r="G368" s="19"/>
      <c r="H368" s="18"/>
    </row>
    <row r="369" ht="15.75" customHeight="1">
      <c r="E369" s="18"/>
      <c r="G369" s="19"/>
      <c r="H369" s="18"/>
    </row>
    <row r="370" ht="15.75" customHeight="1">
      <c r="E370" s="18"/>
      <c r="G370" s="19"/>
      <c r="H370" s="18"/>
    </row>
    <row r="371" ht="15.75" customHeight="1">
      <c r="E371" s="18"/>
      <c r="G371" s="19"/>
      <c r="H371" s="18"/>
    </row>
    <row r="372" ht="15.75" customHeight="1">
      <c r="E372" s="18"/>
      <c r="G372" s="19"/>
      <c r="H372" s="18"/>
    </row>
    <row r="373" ht="15.75" customHeight="1">
      <c r="E373" s="18"/>
      <c r="G373" s="19"/>
      <c r="H373" s="18"/>
    </row>
    <row r="374" ht="15.75" customHeight="1">
      <c r="E374" s="18"/>
      <c r="G374" s="19"/>
      <c r="H374" s="18"/>
    </row>
    <row r="375" ht="15.75" customHeight="1">
      <c r="E375" s="18"/>
      <c r="G375" s="19"/>
      <c r="H375" s="18"/>
    </row>
    <row r="376" ht="15.75" customHeight="1">
      <c r="E376" s="18"/>
      <c r="G376" s="19"/>
      <c r="H376" s="18"/>
    </row>
    <row r="377" ht="15.75" customHeight="1">
      <c r="E377" s="18"/>
      <c r="G377" s="19"/>
      <c r="H377" s="18"/>
    </row>
    <row r="378" ht="15.75" customHeight="1">
      <c r="E378" s="18"/>
      <c r="G378" s="19"/>
      <c r="H378" s="18"/>
    </row>
    <row r="379" ht="15.75" customHeight="1">
      <c r="E379" s="18"/>
      <c r="G379" s="19"/>
      <c r="H379" s="18"/>
    </row>
    <row r="380" ht="15.75" customHeight="1">
      <c r="E380" s="18"/>
      <c r="G380" s="19"/>
      <c r="H380" s="18"/>
    </row>
    <row r="381" ht="15.75" customHeight="1">
      <c r="E381" s="18"/>
      <c r="G381" s="19"/>
      <c r="H381" s="18"/>
    </row>
    <row r="382" ht="15.75" customHeight="1">
      <c r="E382" s="18"/>
      <c r="G382" s="19"/>
      <c r="H382" s="18"/>
    </row>
    <row r="383" ht="15.75" customHeight="1">
      <c r="E383" s="18"/>
      <c r="G383" s="19"/>
      <c r="H383" s="18"/>
    </row>
    <row r="384" ht="15.75" customHeight="1">
      <c r="E384" s="18"/>
      <c r="G384" s="19"/>
      <c r="H384" s="18"/>
    </row>
    <row r="385" ht="15.75" customHeight="1">
      <c r="E385" s="18"/>
      <c r="G385" s="19"/>
      <c r="H385" s="18"/>
    </row>
    <row r="386" ht="15.75" customHeight="1">
      <c r="E386" s="18"/>
      <c r="G386" s="19"/>
      <c r="H386" s="18"/>
    </row>
    <row r="387" ht="15.75" customHeight="1">
      <c r="E387" s="18"/>
      <c r="G387" s="19"/>
      <c r="H387" s="18"/>
    </row>
    <row r="388" ht="15.75" customHeight="1">
      <c r="E388" s="18"/>
      <c r="G388" s="19"/>
      <c r="H388" s="18"/>
    </row>
    <row r="389" ht="15.75" customHeight="1">
      <c r="E389" s="18"/>
      <c r="G389" s="19"/>
      <c r="H389" s="18"/>
    </row>
    <row r="390" ht="15.75" customHeight="1">
      <c r="E390" s="18"/>
      <c r="G390" s="19"/>
      <c r="H390" s="18"/>
    </row>
    <row r="391" ht="15.75" customHeight="1">
      <c r="E391" s="18"/>
      <c r="G391" s="19"/>
      <c r="H391" s="18"/>
    </row>
    <row r="392" ht="15.75" customHeight="1">
      <c r="E392" s="18"/>
      <c r="G392" s="19"/>
      <c r="H392" s="18"/>
    </row>
    <row r="393" ht="15.75" customHeight="1">
      <c r="E393" s="18"/>
      <c r="G393" s="19"/>
      <c r="H393" s="18"/>
    </row>
    <row r="394" ht="15.75" customHeight="1">
      <c r="E394" s="18"/>
      <c r="G394" s="19"/>
      <c r="H394" s="18"/>
    </row>
    <row r="395" ht="15.75" customHeight="1">
      <c r="E395" s="18"/>
      <c r="G395" s="19"/>
      <c r="H395" s="18"/>
    </row>
    <row r="396" ht="15.75" customHeight="1">
      <c r="E396" s="18"/>
      <c r="G396" s="19"/>
      <c r="H396" s="18"/>
    </row>
    <row r="397" ht="15.75" customHeight="1">
      <c r="E397" s="18"/>
      <c r="G397" s="19"/>
      <c r="H397" s="18"/>
    </row>
    <row r="398" ht="15.75" customHeight="1">
      <c r="E398" s="18"/>
      <c r="G398" s="19"/>
      <c r="H398" s="18"/>
    </row>
    <row r="399" ht="15.75" customHeight="1">
      <c r="E399" s="18"/>
      <c r="G399" s="19"/>
      <c r="H399" s="18"/>
    </row>
    <row r="400" ht="15.75" customHeight="1">
      <c r="E400" s="18"/>
      <c r="G400" s="19"/>
      <c r="H400" s="18"/>
    </row>
    <row r="401" ht="15.75" customHeight="1">
      <c r="E401" s="18"/>
      <c r="G401" s="19"/>
      <c r="H401" s="18"/>
    </row>
    <row r="402" ht="15.75" customHeight="1">
      <c r="E402" s="18"/>
      <c r="G402" s="19"/>
      <c r="H402" s="18"/>
    </row>
    <row r="403" ht="15.75" customHeight="1">
      <c r="E403" s="18"/>
      <c r="G403" s="19"/>
      <c r="H403" s="18"/>
    </row>
    <row r="404" ht="15.75" customHeight="1">
      <c r="E404" s="18"/>
      <c r="G404" s="19"/>
      <c r="H404" s="18"/>
    </row>
    <row r="405" ht="15.75" customHeight="1">
      <c r="E405" s="18"/>
      <c r="G405" s="19"/>
      <c r="H405" s="18"/>
    </row>
    <row r="406" ht="15.75" customHeight="1">
      <c r="E406" s="18"/>
      <c r="G406" s="19"/>
      <c r="H406" s="18"/>
    </row>
    <row r="407" ht="15.75" customHeight="1">
      <c r="E407" s="18"/>
      <c r="G407" s="19"/>
      <c r="H407" s="18"/>
    </row>
    <row r="408" ht="15.75" customHeight="1">
      <c r="E408" s="18"/>
      <c r="G408" s="19"/>
      <c r="H408" s="18"/>
    </row>
    <row r="409" ht="15.75" customHeight="1">
      <c r="E409" s="18"/>
      <c r="G409" s="19"/>
      <c r="H409" s="18"/>
    </row>
    <row r="410" ht="15.75" customHeight="1">
      <c r="E410" s="18"/>
      <c r="G410" s="19"/>
      <c r="H410" s="18"/>
    </row>
    <row r="411" ht="15.75" customHeight="1">
      <c r="E411" s="18"/>
      <c r="G411" s="19"/>
      <c r="H411" s="18"/>
    </row>
    <row r="412" ht="15.75" customHeight="1">
      <c r="E412" s="18"/>
      <c r="G412" s="19"/>
      <c r="H412" s="18"/>
    </row>
    <row r="413" ht="15.75" customHeight="1">
      <c r="E413" s="18"/>
      <c r="G413" s="19"/>
      <c r="H413" s="18"/>
    </row>
    <row r="414" ht="15.75" customHeight="1">
      <c r="E414" s="18"/>
      <c r="G414" s="19"/>
      <c r="H414" s="18"/>
    </row>
    <row r="415" ht="15.75" customHeight="1">
      <c r="E415" s="18"/>
      <c r="G415" s="19"/>
      <c r="H415" s="18"/>
    </row>
    <row r="416" ht="15.75" customHeight="1">
      <c r="E416" s="18"/>
      <c r="G416" s="19"/>
      <c r="H416" s="18"/>
    </row>
    <row r="417" ht="15.75" customHeight="1">
      <c r="E417" s="18"/>
      <c r="G417" s="19"/>
      <c r="H417" s="18"/>
    </row>
    <row r="418" ht="15.75" customHeight="1">
      <c r="E418" s="18"/>
      <c r="G418" s="19"/>
      <c r="H418" s="18"/>
    </row>
    <row r="419" ht="15.75" customHeight="1">
      <c r="E419" s="18"/>
      <c r="G419" s="19"/>
      <c r="H419" s="18"/>
    </row>
    <row r="420" ht="15.75" customHeight="1">
      <c r="E420" s="18"/>
      <c r="G420" s="19"/>
      <c r="H420" s="18"/>
    </row>
    <row r="421" ht="15.75" customHeight="1">
      <c r="E421" s="18"/>
      <c r="G421" s="19"/>
      <c r="H421" s="18"/>
    </row>
    <row r="422" ht="15.75" customHeight="1">
      <c r="E422" s="18"/>
      <c r="G422" s="19"/>
      <c r="H422" s="18"/>
    </row>
    <row r="423" ht="15.75" customHeight="1">
      <c r="E423" s="18"/>
      <c r="G423" s="19"/>
      <c r="H423" s="18"/>
    </row>
    <row r="424" ht="15.75" customHeight="1">
      <c r="E424" s="18"/>
      <c r="G424" s="19"/>
      <c r="H424" s="18"/>
    </row>
    <row r="425" ht="15.75" customHeight="1">
      <c r="E425" s="18"/>
      <c r="G425" s="19"/>
      <c r="H425" s="18"/>
    </row>
    <row r="426" ht="15.75" customHeight="1">
      <c r="E426" s="18"/>
      <c r="G426" s="19"/>
      <c r="H426" s="18"/>
    </row>
    <row r="427" ht="15.75" customHeight="1">
      <c r="E427" s="18"/>
      <c r="G427" s="19"/>
      <c r="H427" s="18"/>
    </row>
    <row r="428" ht="15.75" customHeight="1">
      <c r="E428" s="18"/>
      <c r="G428" s="19"/>
      <c r="H428" s="18"/>
    </row>
    <row r="429" ht="15.75" customHeight="1">
      <c r="E429" s="18"/>
      <c r="G429" s="19"/>
      <c r="H429" s="18"/>
    </row>
    <row r="430" ht="15.75" customHeight="1">
      <c r="E430" s="18"/>
      <c r="G430" s="19"/>
      <c r="H430" s="18"/>
    </row>
    <row r="431" ht="15.75" customHeight="1">
      <c r="E431" s="18"/>
      <c r="G431" s="19"/>
      <c r="H431" s="18"/>
    </row>
    <row r="432" ht="15.75" customHeight="1">
      <c r="E432" s="18"/>
      <c r="G432" s="19"/>
      <c r="H432" s="18"/>
    </row>
    <row r="433" ht="15.75" customHeight="1">
      <c r="E433" s="18"/>
      <c r="G433" s="19"/>
      <c r="H433" s="18"/>
    </row>
    <row r="434" ht="15.75" customHeight="1">
      <c r="E434" s="18"/>
      <c r="G434" s="19"/>
      <c r="H434" s="18"/>
    </row>
    <row r="435" ht="15.75" customHeight="1">
      <c r="E435" s="18"/>
      <c r="G435" s="19"/>
      <c r="H435" s="18"/>
    </row>
    <row r="436" ht="15.75" customHeight="1">
      <c r="E436" s="18"/>
      <c r="G436" s="19"/>
      <c r="H436" s="18"/>
    </row>
    <row r="437" ht="15.75" customHeight="1">
      <c r="E437" s="18"/>
      <c r="G437" s="19"/>
      <c r="H437" s="18"/>
    </row>
    <row r="438" ht="15.75" customHeight="1">
      <c r="E438" s="18"/>
      <c r="G438" s="19"/>
      <c r="H438" s="18"/>
    </row>
    <row r="439" ht="15.75" customHeight="1">
      <c r="E439" s="18"/>
      <c r="G439" s="19"/>
      <c r="H439" s="18"/>
    </row>
    <row r="440" ht="15.75" customHeight="1">
      <c r="E440" s="18"/>
      <c r="G440" s="19"/>
      <c r="H440" s="18"/>
    </row>
    <row r="441" ht="15.75" customHeight="1">
      <c r="E441" s="18"/>
      <c r="G441" s="19"/>
      <c r="H441" s="18"/>
    </row>
    <row r="442" ht="15.75" customHeight="1">
      <c r="E442" s="18"/>
      <c r="G442" s="19"/>
      <c r="H442" s="18"/>
    </row>
    <row r="443" ht="15.75" customHeight="1">
      <c r="E443" s="18"/>
      <c r="G443" s="19"/>
      <c r="H443" s="18"/>
    </row>
    <row r="444" ht="15.75" customHeight="1">
      <c r="E444" s="18"/>
      <c r="G444" s="19"/>
      <c r="H444" s="18"/>
    </row>
    <row r="445" ht="15.75" customHeight="1">
      <c r="E445" s="18"/>
      <c r="G445" s="19"/>
      <c r="H445" s="18"/>
    </row>
    <row r="446" ht="15.75" customHeight="1">
      <c r="E446" s="18"/>
      <c r="G446" s="19"/>
      <c r="H446" s="18"/>
    </row>
    <row r="447" ht="15.75" customHeight="1">
      <c r="E447" s="18"/>
      <c r="G447" s="19"/>
      <c r="H447" s="18"/>
    </row>
    <row r="448" ht="15.75" customHeight="1">
      <c r="E448" s="18"/>
      <c r="G448" s="19"/>
      <c r="H448" s="18"/>
    </row>
    <row r="449" ht="15.75" customHeight="1">
      <c r="E449" s="18"/>
      <c r="G449" s="19"/>
      <c r="H449" s="18"/>
    </row>
    <row r="450" ht="15.75" customHeight="1">
      <c r="E450" s="18"/>
      <c r="G450" s="19"/>
      <c r="H450" s="18"/>
    </row>
    <row r="451" ht="15.75" customHeight="1">
      <c r="E451" s="18"/>
      <c r="G451" s="19"/>
      <c r="H451" s="18"/>
    </row>
    <row r="452" ht="15.75" customHeight="1">
      <c r="E452" s="18"/>
      <c r="G452" s="19"/>
      <c r="H452" s="18"/>
    </row>
    <row r="453" ht="15.75" customHeight="1">
      <c r="E453" s="18"/>
      <c r="G453" s="19"/>
      <c r="H453" s="18"/>
    </row>
    <row r="454" ht="15.75" customHeight="1">
      <c r="E454" s="18"/>
      <c r="G454" s="19"/>
      <c r="H454" s="18"/>
    </row>
    <row r="455" ht="15.75" customHeight="1">
      <c r="E455" s="18"/>
      <c r="G455" s="19"/>
      <c r="H455" s="18"/>
    </row>
    <row r="456" ht="15.75" customHeight="1">
      <c r="E456" s="18"/>
      <c r="G456" s="19"/>
      <c r="H456" s="18"/>
    </row>
    <row r="457" ht="15.75" customHeight="1">
      <c r="E457" s="18"/>
      <c r="G457" s="19"/>
      <c r="H457" s="18"/>
    </row>
    <row r="458" ht="15.75" customHeight="1">
      <c r="E458" s="18"/>
      <c r="G458" s="19"/>
      <c r="H458" s="18"/>
    </row>
    <row r="459" ht="15.75" customHeight="1">
      <c r="E459" s="18"/>
      <c r="G459" s="19"/>
      <c r="H459" s="18"/>
    </row>
    <row r="460" ht="15.75" customHeight="1">
      <c r="E460" s="18"/>
      <c r="G460" s="19"/>
      <c r="H460" s="18"/>
    </row>
    <row r="461" ht="15.75" customHeight="1">
      <c r="E461" s="18"/>
      <c r="G461" s="19"/>
      <c r="H461" s="18"/>
    </row>
    <row r="462" ht="15.75" customHeight="1">
      <c r="E462" s="18"/>
      <c r="G462" s="19"/>
      <c r="H462" s="18"/>
    </row>
    <row r="463" ht="15.75" customHeight="1">
      <c r="E463" s="18"/>
      <c r="G463" s="19"/>
      <c r="H463" s="18"/>
    </row>
    <row r="464" ht="15.75" customHeight="1">
      <c r="E464" s="18"/>
      <c r="G464" s="19"/>
      <c r="H464" s="18"/>
    </row>
    <row r="465" ht="15.75" customHeight="1">
      <c r="E465" s="18"/>
      <c r="G465" s="19"/>
      <c r="H465" s="18"/>
    </row>
    <row r="466" ht="15.75" customHeight="1">
      <c r="E466" s="18"/>
      <c r="G466" s="19"/>
      <c r="H466" s="18"/>
    </row>
    <row r="467" ht="15.75" customHeight="1">
      <c r="E467" s="18"/>
      <c r="G467" s="19"/>
      <c r="H467" s="18"/>
    </row>
    <row r="468" ht="15.75" customHeight="1">
      <c r="E468" s="18"/>
      <c r="G468" s="19"/>
      <c r="H468" s="18"/>
    </row>
    <row r="469" ht="15.75" customHeight="1">
      <c r="E469" s="18"/>
      <c r="G469" s="19"/>
      <c r="H469" s="18"/>
    </row>
    <row r="470" ht="15.75" customHeight="1">
      <c r="E470" s="18"/>
      <c r="G470" s="19"/>
      <c r="H470" s="18"/>
    </row>
    <row r="471" ht="15.75" customHeight="1">
      <c r="E471" s="18"/>
      <c r="G471" s="19"/>
      <c r="H471" s="18"/>
    </row>
    <row r="472" ht="15.75" customHeight="1">
      <c r="E472" s="18"/>
      <c r="G472" s="19"/>
      <c r="H472" s="18"/>
    </row>
    <row r="473" ht="15.75" customHeight="1">
      <c r="E473" s="18"/>
      <c r="G473" s="19"/>
      <c r="H473" s="18"/>
    </row>
    <row r="474" ht="15.75" customHeight="1">
      <c r="E474" s="18"/>
      <c r="G474" s="19"/>
      <c r="H474" s="18"/>
    </row>
    <row r="475" ht="15.75" customHeight="1">
      <c r="E475" s="18"/>
      <c r="G475" s="19"/>
      <c r="H475" s="18"/>
    </row>
    <row r="476" ht="15.75" customHeight="1">
      <c r="E476" s="18"/>
      <c r="G476" s="19"/>
      <c r="H476" s="18"/>
    </row>
    <row r="477" ht="15.75" customHeight="1">
      <c r="E477" s="18"/>
      <c r="G477" s="19"/>
      <c r="H477" s="18"/>
    </row>
    <row r="478" ht="15.75" customHeight="1">
      <c r="E478" s="18"/>
      <c r="G478" s="19"/>
      <c r="H478" s="18"/>
    </row>
    <row r="479" ht="15.75" customHeight="1">
      <c r="E479" s="18"/>
      <c r="G479" s="19"/>
      <c r="H479" s="18"/>
    </row>
    <row r="480" ht="15.75" customHeight="1">
      <c r="E480" s="18"/>
      <c r="G480" s="19"/>
      <c r="H480" s="18"/>
    </row>
    <row r="481" ht="15.75" customHeight="1">
      <c r="E481" s="18"/>
      <c r="G481" s="19"/>
      <c r="H481" s="18"/>
    </row>
    <row r="482" ht="15.75" customHeight="1">
      <c r="E482" s="18"/>
      <c r="G482" s="19"/>
      <c r="H482" s="18"/>
    </row>
    <row r="483" ht="15.75" customHeight="1">
      <c r="E483" s="18"/>
      <c r="G483" s="19"/>
      <c r="H483" s="18"/>
    </row>
    <row r="484" ht="15.75" customHeight="1">
      <c r="E484" s="18"/>
      <c r="G484" s="19"/>
      <c r="H484" s="18"/>
    </row>
    <row r="485" ht="15.75" customHeight="1">
      <c r="E485" s="18"/>
      <c r="G485" s="19"/>
      <c r="H485" s="18"/>
    </row>
    <row r="486" ht="15.75" customHeight="1">
      <c r="E486" s="18"/>
      <c r="G486" s="19"/>
      <c r="H486" s="18"/>
    </row>
    <row r="487" ht="15.75" customHeight="1">
      <c r="E487" s="18"/>
      <c r="G487" s="19"/>
      <c r="H487" s="18"/>
    </row>
    <row r="488" ht="15.75" customHeight="1">
      <c r="E488" s="18"/>
      <c r="G488" s="19"/>
      <c r="H488" s="18"/>
    </row>
    <row r="489" ht="15.75" customHeight="1">
      <c r="E489" s="18"/>
      <c r="G489" s="19"/>
      <c r="H489" s="18"/>
    </row>
    <row r="490" ht="15.75" customHeight="1">
      <c r="E490" s="18"/>
      <c r="G490" s="19"/>
      <c r="H490" s="18"/>
    </row>
    <row r="491" ht="15.75" customHeight="1">
      <c r="E491" s="18"/>
      <c r="G491" s="19"/>
      <c r="H491" s="18"/>
    </row>
    <row r="492" ht="15.75" customHeight="1">
      <c r="E492" s="18"/>
      <c r="G492" s="19"/>
      <c r="H492" s="18"/>
    </row>
    <row r="493" ht="15.75" customHeight="1">
      <c r="E493" s="18"/>
      <c r="G493" s="19"/>
      <c r="H493" s="18"/>
    </row>
    <row r="494" ht="15.75" customHeight="1">
      <c r="E494" s="18"/>
      <c r="G494" s="19"/>
      <c r="H494" s="18"/>
    </row>
    <row r="495" ht="15.75" customHeight="1">
      <c r="E495" s="18"/>
      <c r="G495" s="19"/>
      <c r="H495" s="18"/>
    </row>
    <row r="496" ht="15.75" customHeight="1">
      <c r="E496" s="18"/>
      <c r="G496" s="19"/>
      <c r="H496" s="18"/>
    </row>
    <row r="497" ht="15.75" customHeight="1">
      <c r="E497" s="18"/>
      <c r="G497" s="19"/>
      <c r="H497" s="18"/>
    </row>
    <row r="498" ht="15.75" customHeight="1">
      <c r="E498" s="18"/>
      <c r="G498" s="19"/>
      <c r="H498" s="18"/>
    </row>
    <row r="499" ht="15.75" customHeight="1">
      <c r="E499" s="18"/>
      <c r="G499" s="19"/>
      <c r="H499" s="18"/>
    </row>
    <row r="500" ht="15.75" customHeight="1">
      <c r="E500" s="18"/>
      <c r="G500" s="19"/>
      <c r="H500" s="18"/>
    </row>
    <row r="501" ht="15.75" customHeight="1">
      <c r="E501" s="18"/>
      <c r="G501" s="19"/>
      <c r="H501" s="18"/>
    </row>
    <row r="502" ht="15.75" customHeight="1">
      <c r="E502" s="18"/>
      <c r="G502" s="19"/>
      <c r="H502" s="18"/>
    </row>
    <row r="503" ht="15.75" customHeight="1">
      <c r="E503" s="18"/>
      <c r="G503" s="19"/>
      <c r="H503" s="18"/>
    </row>
    <row r="504" ht="15.75" customHeight="1">
      <c r="E504" s="18"/>
      <c r="G504" s="19"/>
      <c r="H504" s="18"/>
    </row>
    <row r="505" ht="15.75" customHeight="1">
      <c r="E505" s="18"/>
      <c r="G505" s="19"/>
      <c r="H505" s="18"/>
    </row>
    <row r="506" ht="15.75" customHeight="1">
      <c r="E506" s="18"/>
      <c r="G506" s="19"/>
      <c r="H506" s="18"/>
    </row>
    <row r="507" ht="15.75" customHeight="1">
      <c r="E507" s="18"/>
      <c r="G507" s="19"/>
      <c r="H507" s="18"/>
    </row>
    <row r="508" ht="15.75" customHeight="1">
      <c r="E508" s="18"/>
      <c r="G508" s="19"/>
      <c r="H508" s="18"/>
    </row>
    <row r="509" ht="15.75" customHeight="1">
      <c r="E509" s="18"/>
      <c r="G509" s="19"/>
      <c r="H509" s="18"/>
    </row>
    <row r="510" ht="15.75" customHeight="1">
      <c r="E510" s="18"/>
      <c r="G510" s="19"/>
      <c r="H510" s="18"/>
    </row>
    <row r="511" ht="15.75" customHeight="1">
      <c r="E511" s="18"/>
      <c r="G511" s="19"/>
      <c r="H511" s="18"/>
    </row>
    <row r="512" ht="15.75" customHeight="1">
      <c r="E512" s="18"/>
      <c r="G512" s="19"/>
      <c r="H512" s="18"/>
    </row>
    <row r="513" ht="15.75" customHeight="1">
      <c r="E513" s="18"/>
      <c r="G513" s="19"/>
      <c r="H513" s="18"/>
    </row>
    <row r="514" ht="15.75" customHeight="1">
      <c r="E514" s="18"/>
      <c r="G514" s="19"/>
      <c r="H514" s="18"/>
    </row>
    <row r="515" ht="15.75" customHeight="1">
      <c r="E515" s="18"/>
      <c r="G515" s="19"/>
      <c r="H515" s="18"/>
    </row>
    <row r="516" ht="15.75" customHeight="1">
      <c r="E516" s="18"/>
      <c r="G516" s="19"/>
      <c r="H516" s="18"/>
    </row>
    <row r="517" ht="15.75" customHeight="1">
      <c r="E517" s="18"/>
      <c r="G517" s="19"/>
      <c r="H517" s="18"/>
    </row>
    <row r="518" ht="15.75" customHeight="1">
      <c r="E518" s="18"/>
      <c r="G518" s="19"/>
      <c r="H518" s="18"/>
    </row>
    <row r="519" ht="15.75" customHeight="1">
      <c r="E519" s="18"/>
      <c r="G519" s="19"/>
      <c r="H519" s="18"/>
    </row>
    <row r="520" ht="15.75" customHeight="1">
      <c r="E520" s="18"/>
      <c r="G520" s="19"/>
      <c r="H520" s="18"/>
    </row>
    <row r="521" ht="15.75" customHeight="1">
      <c r="E521" s="18"/>
      <c r="G521" s="19"/>
      <c r="H521" s="18"/>
    </row>
    <row r="522" ht="15.75" customHeight="1">
      <c r="E522" s="18"/>
      <c r="G522" s="19"/>
      <c r="H522" s="18"/>
    </row>
    <row r="523" ht="15.75" customHeight="1">
      <c r="E523" s="18"/>
      <c r="G523" s="19"/>
      <c r="H523" s="18"/>
    </row>
    <row r="524" ht="15.75" customHeight="1">
      <c r="E524" s="18"/>
      <c r="G524" s="19"/>
      <c r="H524" s="18"/>
    </row>
    <row r="525" ht="15.75" customHeight="1">
      <c r="E525" s="18"/>
      <c r="G525" s="19"/>
      <c r="H525" s="18"/>
    </row>
    <row r="526" ht="15.75" customHeight="1">
      <c r="E526" s="18"/>
      <c r="G526" s="19"/>
      <c r="H526" s="18"/>
    </row>
    <row r="527" ht="15.75" customHeight="1">
      <c r="E527" s="18"/>
      <c r="G527" s="19"/>
      <c r="H527" s="18"/>
    </row>
    <row r="528" ht="15.75" customHeight="1">
      <c r="E528" s="18"/>
      <c r="G528" s="19"/>
      <c r="H528" s="18"/>
    </row>
    <row r="529" ht="15.75" customHeight="1">
      <c r="E529" s="18"/>
      <c r="G529" s="19"/>
      <c r="H529" s="18"/>
    </row>
    <row r="530" ht="15.75" customHeight="1">
      <c r="E530" s="18"/>
      <c r="G530" s="19"/>
      <c r="H530" s="18"/>
    </row>
    <row r="531" ht="15.75" customHeight="1">
      <c r="E531" s="18"/>
      <c r="G531" s="19"/>
      <c r="H531" s="18"/>
    </row>
    <row r="532" ht="15.75" customHeight="1">
      <c r="E532" s="18"/>
      <c r="G532" s="19"/>
      <c r="H532" s="18"/>
    </row>
    <row r="533" ht="15.75" customHeight="1">
      <c r="E533" s="18"/>
      <c r="G533" s="19"/>
      <c r="H533" s="18"/>
    </row>
    <row r="534" ht="15.75" customHeight="1">
      <c r="E534" s="18"/>
      <c r="G534" s="19"/>
      <c r="H534" s="18"/>
    </row>
    <row r="535" ht="15.75" customHeight="1">
      <c r="E535" s="18"/>
      <c r="G535" s="19"/>
      <c r="H535" s="18"/>
    </row>
    <row r="536" ht="15.75" customHeight="1">
      <c r="E536" s="18"/>
      <c r="G536" s="19"/>
      <c r="H536" s="18"/>
    </row>
    <row r="537" ht="15.75" customHeight="1">
      <c r="E537" s="18"/>
      <c r="G537" s="19"/>
      <c r="H537" s="18"/>
    </row>
    <row r="538" ht="15.75" customHeight="1">
      <c r="E538" s="18"/>
      <c r="G538" s="19"/>
      <c r="H538" s="18"/>
    </row>
    <row r="539" ht="15.75" customHeight="1">
      <c r="E539" s="18"/>
      <c r="G539" s="19"/>
      <c r="H539" s="18"/>
    </row>
    <row r="540" ht="15.75" customHeight="1">
      <c r="E540" s="18"/>
      <c r="G540" s="19"/>
      <c r="H540" s="18"/>
    </row>
    <row r="541" ht="15.75" customHeight="1">
      <c r="E541" s="18"/>
      <c r="G541" s="19"/>
      <c r="H541" s="18"/>
    </row>
    <row r="542" ht="15.75" customHeight="1">
      <c r="E542" s="18"/>
      <c r="G542" s="19"/>
      <c r="H542" s="18"/>
    </row>
    <row r="543" ht="15.75" customHeight="1">
      <c r="E543" s="18"/>
      <c r="G543" s="19"/>
      <c r="H543" s="18"/>
    </row>
    <row r="544" ht="15.75" customHeight="1">
      <c r="E544" s="18"/>
      <c r="G544" s="19"/>
      <c r="H544" s="18"/>
    </row>
    <row r="545" ht="15.75" customHeight="1">
      <c r="E545" s="18"/>
      <c r="G545" s="19"/>
      <c r="H545" s="18"/>
    </row>
    <row r="546" ht="15.75" customHeight="1">
      <c r="E546" s="18"/>
      <c r="G546" s="19"/>
      <c r="H546" s="18"/>
    </row>
    <row r="547" ht="15.75" customHeight="1">
      <c r="E547" s="18"/>
      <c r="G547" s="19"/>
      <c r="H547" s="18"/>
    </row>
    <row r="548" ht="15.75" customHeight="1">
      <c r="E548" s="18"/>
      <c r="G548" s="19"/>
      <c r="H548" s="18"/>
    </row>
    <row r="549" ht="15.75" customHeight="1">
      <c r="E549" s="18"/>
      <c r="G549" s="19"/>
      <c r="H549" s="18"/>
    </row>
    <row r="550" ht="15.75" customHeight="1">
      <c r="E550" s="18"/>
      <c r="G550" s="19"/>
      <c r="H550" s="18"/>
    </row>
    <row r="551" ht="15.75" customHeight="1">
      <c r="E551" s="18"/>
      <c r="G551" s="19"/>
      <c r="H551" s="18"/>
    </row>
    <row r="552" ht="15.75" customHeight="1">
      <c r="E552" s="18"/>
      <c r="G552" s="19"/>
      <c r="H552" s="18"/>
    </row>
    <row r="553" ht="15.75" customHeight="1">
      <c r="E553" s="18"/>
      <c r="G553" s="19"/>
      <c r="H553" s="18"/>
    </row>
    <row r="554" ht="15.75" customHeight="1">
      <c r="E554" s="18"/>
      <c r="G554" s="19"/>
      <c r="H554" s="18"/>
    </row>
    <row r="555" ht="15.75" customHeight="1">
      <c r="E555" s="18"/>
      <c r="G555" s="19"/>
      <c r="H555" s="18"/>
    </row>
    <row r="556" ht="15.75" customHeight="1">
      <c r="E556" s="18"/>
      <c r="G556" s="19"/>
      <c r="H556" s="18"/>
    </row>
    <row r="557" ht="15.75" customHeight="1">
      <c r="E557" s="18"/>
      <c r="G557" s="19"/>
      <c r="H557" s="18"/>
    </row>
    <row r="558" ht="15.75" customHeight="1">
      <c r="E558" s="18"/>
      <c r="G558" s="19"/>
      <c r="H558" s="18"/>
    </row>
    <row r="559" ht="15.75" customHeight="1">
      <c r="E559" s="18"/>
      <c r="G559" s="19"/>
      <c r="H559" s="18"/>
    </row>
    <row r="560" ht="15.75" customHeight="1">
      <c r="E560" s="18"/>
      <c r="G560" s="19"/>
      <c r="H560" s="18"/>
    </row>
    <row r="561" ht="15.75" customHeight="1">
      <c r="E561" s="18"/>
      <c r="G561" s="19"/>
      <c r="H561" s="18"/>
    </row>
    <row r="562" ht="15.75" customHeight="1">
      <c r="E562" s="18"/>
      <c r="G562" s="19"/>
      <c r="H562" s="18"/>
    </row>
    <row r="563" ht="15.75" customHeight="1">
      <c r="E563" s="18"/>
      <c r="G563" s="19"/>
      <c r="H563" s="18"/>
    </row>
    <row r="564" ht="15.75" customHeight="1">
      <c r="E564" s="18"/>
      <c r="G564" s="19"/>
      <c r="H564" s="18"/>
    </row>
    <row r="565" ht="15.75" customHeight="1">
      <c r="E565" s="18"/>
      <c r="G565" s="19"/>
      <c r="H565" s="18"/>
    </row>
    <row r="566" ht="15.75" customHeight="1">
      <c r="E566" s="18"/>
      <c r="G566" s="19"/>
      <c r="H566" s="18"/>
    </row>
    <row r="567" ht="15.75" customHeight="1">
      <c r="E567" s="18"/>
      <c r="G567" s="19"/>
      <c r="H567" s="18"/>
    </row>
    <row r="568" ht="15.75" customHeight="1">
      <c r="E568" s="18"/>
      <c r="G568" s="19"/>
      <c r="H568" s="18"/>
    </row>
    <row r="569" ht="15.75" customHeight="1">
      <c r="E569" s="18"/>
      <c r="G569" s="19"/>
      <c r="H569" s="18"/>
    </row>
    <row r="570" ht="15.75" customHeight="1">
      <c r="E570" s="18"/>
      <c r="G570" s="19"/>
      <c r="H570" s="18"/>
    </row>
    <row r="571" ht="15.75" customHeight="1">
      <c r="E571" s="18"/>
      <c r="G571" s="19"/>
      <c r="H571" s="18"/>
    </row>
    <row r="572" ht="15.75" customHeight="1">
      <c r="E572" s="18"/>
      <c r="G572" s="19"/>
      <c r="H572" s="18"/>
    </row>
    <row r="573" ht="15.75" customHeight="1">
      <c r="E573" s="18"/>
      <c r="G573" s="19"/>
      <c r="H573" s="18"/>
    </row>
    <row r="574" ht="15.75" customHeight="1">
      <c r="E574" s="18"/>
      <c r="G574" s="19"/>
      <c r="H574" s="18"/>
    </row>
    <row r="575" ht="15.75" customHeight="1">
      <c r="E575" s="18"/>
      <c r="G575" s="19"/>
      <c r="H575" s="18"/>
    </row>
    <row r="576" ht="15.75" customHeight="1">
      <c r="E576" s="18"/>
      <c r="G576" s="19"/>
      <c r="H576" s="18"/>
    </row>
    <row r="577" ht="15.75" customHeight="1">
      <c r="E577" s="18"/>
      <c r="G577" s="19"/>
      <c r="H577" s="18"/>
    </row>
    <row r="578" ht="15.75" customHeight="1">
      <c r="E578" s="18"/>
      <c r="G578" s="19"/>
      <c r="H578" s="18"/>
    </row>
    <row r="579" ht="15.75" customHeight="1">
      <c r="E579" s="18"/>
      <c r="G579" s="19"/>
      <c r="H579" s="18"/>
    </row>
    <row r="580" ht="15.75" customHeight="1">
      <c r="E580" s="18"/>
      <c r="G580" s="19"/>
      <c r="H580" s="18"/>
    </row>
    <row r="581" ht="15.75" customHeight="1">
      <c r="E581" s="18"/>
      <c r="G581" s="19"/>
      <c r="H581" s="18"/>
    </row>
    <row r="582" ht="15.75" customHeight="1">
      <c r="E582" s="18"/>
      <c r="G582" s="19"/>
      <c r="H582" s="18"/>
    </row>
    <row r="583" ht="15.75" customHeight="1">
      <c r="E583" s="18"/>
      <c r="G583" s="19"/>
      <c r="H583" s="18"/>
    </row>
    <row r="584" ht="15.75" customHeight="1">
      <c r="E584" s="18"/>
      <c r="G584" s="19"/>
      <c r="H584" s="18"/>
    </row>
    <row r="585" ht="15.75" customHeight="1">
      <c r="E585" s="18"/>
      <c r="G585" s="19"/>
      <c r="H585" s="18"/>
    </row>
    <row r="586" ht="15.75" customHeight="1">
      <c r="E586" s="18"/>
      <c r="G586" s="19"/>
      <c r="H586" s="18"/>
    </row>
    <row r="587" ht="15.75" customHeight="1">
      <c r="E587" s="18"/>
      <c r="G587" s="19"/>
      <c r="H587" s="18"/>
    </row>
    <row r="588" ht="15.75" customHeight="1">
      <c r="E588" s="18"/>
      <c r="G588" s="19"/>
      <c r="H588" s="18"/>
    </row>
    <row r="589" ht="15.75" customHeight="1">
      <c r="E589" s="18"/>
      <c r="G589" s="19"/>
      <c r="H589" s="18"/>
    </row>
    <row r="590" ht="15.75" customHeight="1">
      <c r="E590" s="18"/>
      <c r="G590" s="19"/>
      <c r="H590" s="18"/>
    </row>
    <row r="591" ht="15.75" customHeight="1">
      <c r="E591" s="18"/>
      <c r="G591" s="19"/>
      <c r="H591" s="18"/>
    </row>
    <row r="592" ht="15.75" customHeight="1">
      <c r="E592" s="18"/>
      <c r="G592" s="19"/>
      <c r="H592" s="18"/>
    </row>
    <row r="593" ht="15.75" customHeight="1">
      <c r="E593" s="18"/>
      <c r="G593" s="19"/>
      <c r="H593" s="18"/>
    </row>
    <row r="594" ht="15.75" customHeight="1">
      <c r="E594" s="18"/>
      <c r="G594" s="19"/>
      <c r="H594" s="18"/>
    </row>
    <row r="595" ht="15.75" customHeight="1">
      <c r="E595" s="18"/>
      <c r="G595" s="19"/>
      <c r="H595" s="18"/>
    </row>
    <row r="596" ht="15.75" customHeight="1">
      <c r="E596" s="18"/>
      <c r="G596" s="19"/>
      <c r="H596" s="18"/>
    </row>
    <row r="597" ht="15.75" customHeight="1">
      <c r="E597" s="18"/>
      <c r="G597" s="19"/>
      <c r="H597" s="18"/>
    </row>
    <row r="598" ht="15.75" customHeight="1">
      <c r="E598" s="18"/>
      <c r="G598" s="19"/>
      <c r="H598" s="18"/>
    </row>
    <row r="599" ht="15.75" customHeight="1">
      <c r="E599" s="18"/>
      <c r="G599" s="19"/>
      <c r="H599" s="18"/>
    </row>
    <row r="600" ht="15.75" customHeight="1">
      <c r="E600" s="18"/>
      <c r="G600" s="19"/>
      <c r="H600" s="18"/>
    </row>
    <row r="601" ht="15.75" customHeight="1">
      <c r="E601" s="18"/>
      <c r="G601" s="19"/>
      <c r="H601" s="18"/>
    </row>
    <row r="602" ht="15.75" customHeight="1">
      <c r="E602" s="18"/>
      <c r="G602" s="19"/>
      <c r="H602" s="18"/>
    </row>
    <row r="603" ht="15.75" customHeight="1">
      <c r="E603" s="18"/>
      <c r="G603" s="19"/>
      <c r="H603" s="18"/>
    </row>
    <row r="604" ht="15.75" customHeight="1">
      <c r="E604" s="18"/>
      <c r="G604" s="19"/>
      <c r="H604" s="18"/>
    </row>
    <row r="605" ht="15.75" customHeight="1">
      <c r="E605" s="18"/>
      <c r="G605" s="19"/>
      <c r="H605" s="18"/>
    </row>
    <row r="606" ht="15.75" customHeight="1">
      <c r="E606" s="18"/>
      <c r="G606" s="19"/>
      <c r="H606" s="18"/>
    </row>
    <row r="607" ht="15.75" customHeight="1">
      <c r="E607" s="18"/>
      <c r="G607" s="19"/>
      <c r="H607" s="18"/>
    </row>
    <row r="608" ht="15.75" customHeight="1">
      <c r="E608" s="18"/>
      <c r="G608" s="19"/>
      <c r="H608" s="18"/>
    </row>
    <row r="609" ht="15.75" customHeight="1">
      <c r="E609" s="18"/>
      <c r="G609" s="19"/>
      <c r="H609" s="18"/>
    </row>
    <row r="610" ht="15.75" customHeight="1">
      <c r="E610" s="18"/>
      <c r="G610" s="19"/>
      <c r="H610" s="18"/>
    </row>
    <row r="611" ht="15.75" customHeight="1">
      <c r="E611" s="18"/>
      <c r="G611" s="19"/>
      <c r="H611" s="18"/>
    </row>
    <row r="612" ht="15.75" customHeight="1">
      <c r="E612" s="18"/>
      <c r="G612" s="19"/>
      <c r="H612" s="18"/>
    </row>
    <row r="613" ht="15.75" customHeight="1">
      <c r="E613" s="18"/>
      <c r="G613" s="19"/>
      <c r="H613" s="18"/>
    </row>
    <row r="614" ht="15.75" customHeight="1">
      <c r="E614" s="18"/>
      <c r="G614" s="19"/>
      <c r="H614" s="18"/>
    </row>
    <row r="615" ht="15.75" customHeight="1">
      <c r="E615" s="18"/>
      <c r="G615" s="19"/>
      <c r="H615" s="18"/>
    </row>
    <row r="616" ht="15.75" customHeight="1">
      <c r="E616" s="18"/>
      <c r="G616" s="19"/>
      <c r="H616" s="18"/>
    </row>
    <row r="617" ht="15.75" customHeight="1">
      <c r="E617" s="18"/>
      <c r="G617" s="19"/>
      <c r="H617" s="18"/>
    </row>
    <row r="618" ht="15.75" customHeight="1">
      <c r="E618" s="18"/>
      <c r="G618" s="19"/>
      <c r="H618" s="18"/>
    </row>
    <row r="619" ht="15.75" customHeight="1">
      <c r="E619" s="18"/>
      <c r="G619" s="19"/>
      <c r="H619" s="18"/>
    </row>
    <row r="620" ht="15.75" customHeight="1">
      <c r="E620" s="18"/>
      <c r="G620" s="19"/>
      <c r="H620" s="18"/>
    </row>
    <row r="621" ht="15.75" customHeight="1">
      <c r="E621" s="18"/>
      <c r="G621" s="19"/>
      <c r="H621" s="18"/>
    </row>
    <row r="622" ht="15.75" customHeight="1">
      <c r="E622" s="18"/>
      <c r="G622" s="19"/>
      <c r="H622" s="18"/>
    </row>
    <row r="623" ht="15.75" customHeight="1">
      <c r="E623" s="18"/>
      <c r="G623" s="19"/>
      <c r="H623" s="18"/>
    </row>
    <row r="624" ht="15.75" customHeight="1">
      <c r="E624" s="18"/>
      <c r="G624" s="19"/>
      <c r="H624" s="18"/>
    </row>
    <row r="625" ht="15.75" customHeight="1">
      <c r="E625" s="18"/>
      <c r="G625" s="19"/>
      <c r="H625" s="18"/>
    </row>
    <row r="626" ht="15.75" customHeight="1">
      <c r="E626" s="18"/>
      <c r="G626" s="19"/>
      <c r="H626" s="18"/>
    </row>
    <row r="627" ht="15.75" customHeight="1">
      <c r="E627" s="18"/>
      <c r="G627" s="19"/>
      <c r="H627" s="18"/>
    </row>
    <row r="628" ht="15.75" customHeight="1">
      <c r="E628" s="18"/>
      <c r="G628" s="19"/>
      <c r="H628" s="18"/>
    </row>
    <row r="629" ht="15.75" customHeight="1">
      <c r="E629" s="18"/>
      <c r="G629" s="19"/>
      <c r="H629" s="18"/>
    </row>
    <row r="630" ht="15.75" customHeight="1">
      <c r="E630" s="18"/>
      <c r="G630" s="19"/>
      <c r="H630" s="18"/>
    </row>
    <row r="631" ht="15.75" customHeight="1">
      <c r="E631" s="18"/>
      <c r="G631" s="19"/>
      <c r="H631" s="18"/>
    </row>
    <row r="632" ht="15.75" customHeight="1">
      <c r="E632" s="18"/>
      <c r="G632" s="19"/>
      <c r="H632" s="18"/>
    </row>
    <row r="633" ht="15.75" customHeight="1">
      <c r="E633" s="18"/>
      <c r="G633" s="19"/>
      <c r="H633" s="18"/>
    </row>
    <row r="634" ht="15.75" customHeight="1">
      <c r="E634" s="18"/>
      <c r="G634" s="19"/>
      <c r="H634" s="18"/>
    </row>
    <row r="635" ht="15.75" customHeight="1">
      <c r="E635" s="18"/>
      <c r="G635" s="19"/>
      <c r="H635" s="18"/>
    </row>
    <row r="636" ht="15.75" customHeight="1">
      <c r="E636" s="18"/>
      <c r="G636" s="19"/>
      <c r="H636" s="18"/>
    </row>
    <row r="637" ht="15.75" customHeight="1">
      <c r="E637" s="18"/>
      <c r="G637" s="19"/>
      <c r="H637" s="18"/>
    </row>
    <row r="638" ht="15.75" customHeight="1">
      <c r="E638" s="18"/>
      <c r="G638" s="19"/>
      <c r="H638" s="18"/>
    </row>
    <row r="639" ht="15.75" customHeight="1">
      <c r="E639" s="18"/>
      <c r="G639" s="19"/>
      <c r="H639" s="18"/>
    </row>
    <row r="640" ht="15.75" customHeight="1">
      <c r="E640" s="18"/>
      <c r="G640" s="19"/>
      <c r="H640" s="18"/>
    </row>
    <row r="641" ht="15.75" customHeight="1">
      <c r="E641" s="18"/>
      <c r="G641" s="19"/>
      <c r="H641" s="18"/>
    </row>
    <row r="642" ht="15.75" customHeight="1">
      <c r="E642" s="18"/>
      <c r="G642" s="19"/>
      <c r="H642" s="18"/>
    </row>
    <row r="643" ht="15.75" customHeight="1">
      <c r="E643" s="18"/>
      <c r="G643" s="19"/>
      <c r="H643" s="18"/>
    </row>
    <row r="644" ht="15.75" customHeight="1">
      <c r="E644" s="18"/>
      <c r="G644" s="19"/>
      <c r="H644" s="18"/>
    </row>
    <row r="645" ht="15.75" customHeight="1">
      <c r="E645" s="18"/>
      <c r="G645" s="19"/>
      <c r="H645" s="18"/>
    </row>
    <row r="646" ht="15.75" customHeight="1">
      <c r="E646" s="18"/>
      <c r="G646" s="19"/>
      <c r="H646" s="18"/>
    </row>
    <row r="647" ht="15.75" customHeight="1">
      <c r="E647" s="18"/>
      <c r="G647" s="19"/>
      <c r="H647" s="18"/>
    </row>
    <row r="648" ht="15.75" customHeight="1">
      <c r="E648" s="18"/>
      <c r="G648" s="19"/>
      <c r="H648" s="18"/>
    </row>
    <row r="649" ht="15.75" customHeight="1">
      <c r="E649" s="18"/>
      <c r="G649" s="19"/>
      <c r="H649" s="18"/>
    </row>
    <row r="650" ht="15.75" customHeight="1">
      <c r="E650" s="18"/>
      <c r="G650" s="19"/>
      <c r="H650" s="18"/>
    </row>
    <row r="651" ht="15.75" customHeight="1">
      <c r="E651" s="18"/>
      <c r="G651" s="19"/>
      <c r="H651" s="18"/>
    </row>
    <row r="652" ht="15.75" customHeight="1">
      <c r="E652" s="18"/>
      <c r="G652" s="19"/>
      <c r="H652" s="18"/>
    </row>
    <row r="653" ht="15.75" customHeight="1">
      <c r="E653" s="18"/>
      <c r="G653" s="19"/>
      <c r="H653" s="18"/>
    </row>
    <row r="654" ht="15.75" customHeight="1">
      <c r="E654" s="18"/>
      <c r="G654" s="19"/>
      <c r="H654" s="18"/>
    </row>
    <row r="655" ht="15.75" customHeight="1">
      <c r="E655" s="18"/>
      <c r="G655" s="19"/>
      <c r="H655" s="18"/>
    </row>
    <row r="656" ht="15.75" customHeight="1">
      <c r="E656" s="18"/>
      <c r="G656" s="19"/>
      <c r="H656" s="18"/>
    </row>
    <row r="657" ht="15.75" customHeight="1">
      <c r="E657" s="18"/>
      <c r="G657" s="19"/>
      <c r="H657" s="18"/>
    </row>
    <row r="658" ht="15.75" customHeight="1">
      <c r="E658" s="18"/>
      <c r="G658" s="19"/>
      <c r="H658" s="18"/>
    </row>
    <row r="659" ht="15.75" customHeight="1">
      <c r="E659" s="18"/>
      <c r="G659" s="19"/>
      <c r="H659" s="18"/>
    </row>
    <row r="660" ht="15.75" customHeight="1">
      <c r="E660" s="18"/>
      <c r="G660" s="19"/>
      <c r="H660" s="18"/>
    </row>
    <row r="661" ht="15.75" customHeight="1">
      <c r="E661" s="18"/>
      <c r="G661" s="19"/>
      <c r="H661" s="18"/>
    </row>
    <row r="662" ht="15.75" customHeight="1">
      <c r="E662" s="18"/>
      <c r="G662" s="19"/>
      <c r="H662" s="18"/>
    </row>
    <row r="663" ht="15.75" customHeight="1">
      <c r="E663" s="18"/>
      <c r="G663" s="19"/>
      <c r="H663" s="18"/>
    </row>
    <row r="664" ht="15.75" customHeight="1">
      <c r="E664" s="18"/>
      <c r="G664" s="19"/>
      <c r="H664" s="18"/>
    </row>
    <row r="665" ht="15.75" customHeight="1">
      <c r="E665" s="18"/>
      <c r="G665" s="19"/>
      <c r="H665" s="18"/>
    </row>
    <row r="666" ht="15.75" customHeight="1">
      <c r="E666" s="18"/>
      <c r="G666" s="19"/>
      <c r="H666" s="18"/>
    </row>
    <row r="667" ht="15.75" customHeight="1">
      <c r="E667" s="18"/>
      <c r="G667" s="19"/>
      <c r="H667" s="18"/>
    </row>
    <row r="668" ht="15.75" customHeight="1">
      <c r="E668" s="18"/>
      <c r="G668" s="19"/>
      <c r="H668" s="18"/>
    </row>
    <row r="669" ht="15.75" customHeight="1">
      <c r="E669" s="18"/>
      <c r="G669" s="19"/>
      <c r="H669" s="18"/>
    </row>
    <row r="670" ht="15.75" customHeight="1">
      <c r="E670" s="18"/>
      <c r="G670" s="19"/>
      <c r="H670" s="18"/>
    </row>
    <row r="671" ht="15.75" customHeight="1">
      <c r="E671" s="18"/>
      <c r="G671" s="19"/>
      <c r="H671" s="18"/>
    </row>
    <row r="672" ht="15.75" customHeight="1">
      <c r="E672" s="18"/>
      <c r="G672" s="19"/>
      <c r="H672" s="18"/>
    </row>
    <row r="673" ht="15.75" customHeight="1">
      <c r="E673" s="18"/>
      <c r="G673" s="19"/>
      <c r="H673" s="18"/>
    </row>
    <row r="674" ht="15.75" customHeight="1">
      <c r="E674" s="18"/>
      <c r="G674" s="19"/>
      <c r="H674" s="18"/>
    </row>
    <row r="675" ht="15.75" customHeight="1">
      <c r="E675" s="18"/>
      <c r="G675" s="19"/>
      <c r="H675" s="18"/>
    </row>
    <row r="676" ht="15.75" customHeight="1">
      <c r="E676" s="18"/>
      <c r="G676" s="19"/>
      <c r="H676" s="18"/>
    </row>
    <row r="677" ht="15.75" customHeight="1">
      <c r="E677" s="18"/>
      <c r="G677" s="19"/>
      <c r="H677" s="18"/>
    </row>
    <row r="678" ht="15.75" customHeight="1">
      <c r="E678" s="18"/>
      <c r="G678" s="19"/>
      <c r="H678" s="18"/>
    </row>
    <row r="679" ht="15.75" customHeight="1">
      <c r="E679" s="18"/>
      <c r="G679" s="19"/>
      <c r="H679" s="18"/>
    </row>
    <row r="680" ht="15.75" customHeight="1">
      <c r="E680" s="18"/>
      <c r="G680" s="19"/>
      <c r="H680" s="18"/>
    </row>
    <row r="681" ht="15.75" customHeight="1">
      <c r="E681" s="18"/>
      <c r="G681" s="19"/>
      <c r="H681" s="18"/>
    </row>
    <row r="682" ht="15.75" customHeight="1">
      <c r="E682" s="18"/>
      <c r="G682" s="19"/>
      <c r="H682" s="18"/>
    </row>
    <row r="683" ht="15.75" customHeight="1">
      <c r="E683" s="18"/>
      <c r="G683" s="19"/>
      <c r="H683" s="18"/>
    </row>
    <row r="684" ht="15.75" customHeight="1">
      <c r="E684" s="18"/>
      <c r="G684" s="19"/>
      <c r="H684" s="18"/>
    </row>
    <row r="685" ht="15.75" customHeight="1">
      <c r="E685" s="18"/>
      <c r="G685" s="19"/>
      <c r="H685" s="18"/>
    </row>
    <row r="686" ht="15.75" customHeight="1">
      <c r="E686" s="18"/>
      <c r="G686" s="19"/>
      <c r="H686" s="18"/>
    </row>
    <row r="687" ht="15.75" customHeight="1">
      <c r="E687" s="18"/>
      <c r="G687" s="19"/>
      <c r="H687" s="18"/>
    </row>
    <row r="688" ht="15.75" customHeight="1">
      <c r="E688" s="18"/>
      <c r="G688" s="19"/>
      <c r="H688" s="18"/>
    </row>
    <row r="689" ht="15.75" customHeight="1">
      <c r="E689" s="18"/>
      <c r="G689" s="19"/>
      <c r="H689" s="18"/>
    </row>
    <row r="690" ht="15.75" customHeight="1">
      <c r="E690" s="18"/>
      <c r="G690" s="19"/>
      <c r="H690" s="18"/>
    </row>
    <row r="691" ht="15.75" customHeight="1">
      <c r="E691" s="18"/>
      <c r="G691" s="19"/>
      <c r="H691" s="18"/>
    </row>
    <row r="692" ht="15.75" customHeight="1">
      <c r="E692" s="18"/>
      <c r="G692" s="19"/>
      <c r="H692" s="18"/>
    </row>
    <row r="693" ht="15.75" customHeight="1">
      <c r="E693" s="18"/>
      <c r="G693" s="19"/>
      <c r="H693" s="18"/>
    </row>
    <row r="694" ht="15.75" customHeight="1">
      <c r="E694" s="18"/>
      <c r="G694" s="19"/>
      <c r="H694" s="18"/>
    </row>
    <row r="695" ht="15.75" customHeight="1">
      <c r="E695" s="18"/>
      <c r="G695" s="19"/>
      <c r="H695" s="18"/>
    </row>
    <row r="696" ht="15.75" customHeight="1">
      <c r="E696" s="18"/>
      <c r="G696" s="19"/>
      <c r="H696" s="18"/>
    </row>
    <row r="697" ht="15.75" customHeight="1">
      <c r="E697" s="18"/>
      <c r="G697" s="19"/>
      <c r="H697" s="18"/>
    </row>
    <row r="698" ht="15.75" customHeight="1">
      <c r="E698" s="18"/>
      <c r="G698" s="19"/>
      <c r="H698" s="18"/>
    </row>
    <row r="699" ht="15.75" customHeight="1">
      <c r="E699" s="18"/>
      <c r="G699" s="19"/>
      <c r="H699" s="18"/>
    </row>
    <row r="700" ht="15.75" customHeight="1">
      <c r="E700" s="18"/>
      <c r="G700" s="19"/>
      <c r="H700" s="18"/>
    </row>
    <row r="701" ht="15.75" customHeight="1">
      <c r="E701" s="18"/>
      <c r="G701" s="19"/>
      <c r="H701" s="18"/>
    </row>
    <row r="702" ht="15.75" customHeight="1">
      <c r="E702" s="18"/>
      <c r="G702" s="19"/>
      <c r="H702" s="18"/>
    </row>
    <row r="703" ht="15.75" customHeight="1">
      <c r="E703" s="18"/>
      <c r="G703" s="19"/>
      <c r="H703" s="18"/>
    </row>
    <row r="704" ht="15.75" customHeight="1">
      <c r="E704" s="18"/>
      <c r="G704" s="19"/>
      <c r="H704" s="18"/>
    </row>
    <row r="705" ht="15.75" customHeight="1">
      <c r="E705" s="18"/>
      <c r="G705" s="19"/>
      <c r="H705" s="18"/>
    </row>
    <row r="706" ht="15.75" customHeight="1">
      <c r="E706" s="18"/>
      <c r="G706" s="19"/>
      <c r="H706" s="18"/>
    </row>
    <row r="707" ht="15.75" customHeight="1">
      <c r="E707" s="18"/>
      <c r="G707" s="19"/>
      <c r="H707" s="18"/>
    </row>
    <row r="708" ht="15.75" customHeight="1">
      <c r="E708" s="18"/>
      <c r="G708" s="19"/>
      <c r="H708" s="18"/>
    </row>
    <row r="709" ht="15.75" customHeight="1">
      <c r="E709" s="18"/>
      <c r="G709" s="19"/>
      <c r="H709" s="18"/>
    </row>
    <row r="710" ht="15.75" customHeight="1">
      <c r="E710" s="18"/>
      <c r="G710" s="19"/>
      <c r="H710" s="18"/>
    </row>
    <row r="711" ht="15.75" customHeight="1">
      <c r="E711" s="18"/>
      <c r="G711" s="19"/>
      <c r="H711" s="18"/>
    </row>
    <row r="712" ht="15.75" customHeight="1">
      <c r="E712" s="18"/>
      <c r="G712" s="19"/>
      <c r="H712" s="18"/>
    </row>
    <row r="713" ht="15.75" customHeight="1">
      <c r="E713" s="18"/>
      <c r="G713" s="19"/>
      <c r="H713" s="18"/>
    </row>
    <row r="714" ht="15.75" customHeight="1">
      <c r="E714" s="18"/>
      <c r="G714" s="19"/>
      <c r="H714" s="18"/>
    </row>
    <row r="715" ht="15.75" customHeight="1">
      <c r="E715" s="18"/>
      <c r="G715" s="19"/>
      <c r="H715" s="18"/>
    </row>
    <row r="716" ht="15.75" customHeight="1">
      <c r="E716" s="18"/>
      <c r="G716" s="19"/>
      <c r="H716" s="18"/>
    </row>
    <row r="717" ht="15.75" customHeight="1">
      <c r="E717" s="18"/>
      <c r="G717" s="19"/>
      <c r="H717" s="18"/>
    </row>
    <row r="718" ht="15.75" customHeight="1">
      <c r="E718" s="18"/>
      <c r="G718" s="19"/>
      <c r="H718" s="18"/>
    </row>
    <row r="719" ht="15.75" customHeight="1">
      <c r="E719" s="18"/>
      <c r="G719" s="19"/>
      <c r="H719" s="18"/>
    </row>
    <row r="720" ht="15.75" customHeight="1">
      <c r="E720" s="18"/>
      <c r="G720" s="19"/>
      <c r="H720" s="18"/>
    </row>
    <row r="721" ht="15.75" customHeight="1">
      <c r="E721" s="18"/>
      <c r="G721" s="19"/>
      <c r="H721" s="18"/>
    </row>
    <row r="722" ht="15.75" customHeight="1">
      <c r="E722" s="18"/>
      <c r="G722" s="19"/>
      <c r="H722" s="18"/>
    </row>
    <row r="723" ht="15.75" customHeight="1">
      <c r="E723" s="18"/>
      <c r="G723" s="19"/>
      <c r="H723" s="18"/>
    </row>
    <row r="724" ht="15.75" customHeight="1">
      <c r="E724" s="18"/>
      <c r="G724" s="19"/>
      <c r="H724" s="18"/>
    </row>
    <row r="725" ht="15.75" customHeight="1">
      <c r="E725" s="18"/>
      <c r="G725" s="19"/>
      <c r="H725" s="18"/>
    </row>
    <row r="726" ht="15.75" customHeight="1">
      <c r="E726" s="18"/>
      <c r="G726" s="19"/>
      <c r="H726" s="18"/>
    </row>
    <row r="727" ht="15.75" customHeight="1">
      <c r="E727" s="18"/>
      <c r="G727" s="19"/>
      <c r="H727" s="18"/>
    </row>
    <row r="728" ht="15.75" customHeight="1">
      <c r="E728" s="18"/>
      <c r="G728" s="19"/>
      <c r="H728" s="18"/>
    </row>
    <row r="729" ht="15.75" customHeight="1">
      <c r="E729" s="18"/>
      <c r="G729" s="19"/>
      <c r="H729" s="18"/>
    </row>
    <row r="730" ht="15.75" customHeight="1">
      <c r="E730" s="18"/>
      <c r="G730" s="19"/>
      <c r="H730" s="18"/>
    </row>
    <row r="731" ht="15.75" customHeight="1">
      <c r="E731" s="18"/>
      <c r="G731" s="19"/>
      <c r="H731" s="18"/>
    </row>
    <row r="732" ht="15.75" customHeight="1">
      <c r="E732" s="18"/>
      <c r="G732" s="19"/>
      <c r="H732" s="18"/>
    </row>
    <row r="733" ht="15.75" customHeight="1">
      <c r="E733" s="18"/>
      <c r="G733" s="19"/>
      <c r="H733" s="18"/>
    </row>
    <row r="734" ht="15.75" customHeight="1">
      <c r="E734" s="18"/>
      <c r="G734" s="19"/>
      <c r="H734" s="18"/>
    </row>
    <row r="735" ht="15.75" customHeight="1">
      <c r="E735" s="18"/>
      <c r="G735" s="19"/>
      <c r="H735" s="18"/>
    </row>
    <row r="736" ht="15.75" customHeight="1">
      <c r="E736" s="18"/>
      <c r="G736" s="19"/>
      <c r="H736" s="18"/>
    </row>
    <row r="737" ht="15.75" customHeight="1">
      <c r="E737" s="18"/>
      <c r="G737" s="19"/>
      <c r="H737" s="18"/>
    </row>
    <row r="738" ht="15.75" customHeight="1">
      <c r="E738" s="18"/>
      <c r="G738" s="19"/>
      <c r="H738" s="18"/>
    </row>
    <row r="739" ht="15.75" customHeight="1">
      <c r="E739" s="18"/>
      <c r="G739" s="19"/>
      <c r="H739" s="18"/>
    </row>
    <row r="740" ht="15.75" customHeight="1">
      <c r="E740" s="18"/>
      <c r="G740" s="19"/>
      <c r="H740" s="18"/>
    </row>
    <row r="741" ht="15.75" customHeight="1">
      <c r="E741" s="18"/>
      <c r="G741" s="19"/>
      <c r="H741" s="18"/>
    </row>
    <row r="742" ht="15.75" customHeight="1">
      <c r="E742" s="18"/>
      <c r="G742" s="19"/>
      <c r="H742" s="18"/>
    </row>
    <row r="743" ht="15.75" customHeight="1">
      <c r="E743" s="18"/>
      <c r="G743" s="19"/>
      <c r="H743" s="18"/>
    </row>
    <row r="744" ht="15.75" customHeight="1">
      <c r="E744" s="18"/>
      <c r="G744" s="19"/>
      <c r="H744" s="18"/>
    </row>
    <row r="745" ht="15.75" customHeight="1">
      <c r="E745" s="18"/>
      <c r="G745" s="19"/>
      <c r="H745" s="18"/>
    </row>
    <row r="746" ht="15.75" customHeight="1">
      <c r="E746" s="18"/>
      <c r="G746" s="19"/>
      <c r="H746" s="18"/>
    </row>
    <row r="747" ht="15.75" customHeight="1">
      <c r="E747" s="18"/>
      <c r="G747" s="19"/>
      <c r="H747" s="18"/>
    </row>
    <row r="748" ht="15.75" customHeight="1">
      <c r="E748" s="18"/>
      <c r="G748" s="19"/>
      <c r="H748" s="18"/>
    </row>
    <row r="749" ht="15.75" customHeight="1">
      <c r="E749" s="18"/>
      <c r="G749" s="19"/>
      <c r="H749" s="18"/>
    </row>
    <row r="750" ht="15.75" customHeight="1">
      <c r="E750" s="18"/>
      <c r="G750" s="19"/>
      <c r="H750" s="18"/>
    </row>
    <row r="751" ht="15.75" customHeight="1">
      <c r="E751" s="18"/>
      <c r="G751" s="19"/>
      <c r="H751" s="18"/>
    </row>
    <row r="752" ht="15.75" customHeight="1">
      <c r="E752" s="18"/>
      <c r="G752" s="19"/>
      <c r="H752" s="18"/>
    </row>
    <row r="753" ht="15.75" customHeight="1">
      <c r="E753" s="18"/>
      <c r="G753" s="19"/>
      <c r="H753" s="18"/>
    </row>
    <row r="754" ht="15.75" customHeight="1">
      <c r="E754" s="18"/>
      <c r="G754" s="19"/>
      <c r="H754" s="18"/>
    </row>
    <row r="755" ht="15.75" customHeight="1">
      <c r="E755" s="18"/>
      <c r="G755" s="19"/>
      <c r="H755" s="18"/>
    </row>
    <row r="756" ht="15.75" customHeight="1">
      <c r="E756" s="18"/>
      <c r="G756" s="19"/>
      <c r="H756" s="18"/>
    </row>
    <row r="757" ht="15.75" customHeight="1">
      <c r="E757" s="18"/>
      <c r="G757" s="19"/>
      <c r="H757" s="18"/>
    </row>
    <row r="758" ht="15.75" customHeight="1">
      <c r="E758" s="18"/>
      <c r="G758" s="19"/>
      <c r="H758" s="18"/>
    </row>
    <row r="759" ht="15.75" customHeight="1">
      <c r="E759" s="18"/>
      <c r="G759" s="19"/>
      <c r="H759" s="18"/>
    </row>
    <row r="760" ht="15.75" customHeight="1">
      <c r="E760" s="18"/>
      <c r="G760" s="19"/>
      <c r="H760" s="18"/>
    </row>
    <row r="761" ht="15.75" customHeight="1">
      <c r="E761" s="18"/>
      <c r="G761" s="19"/>
      <c r="H761" s="18"/>
    </row>
    <row r="762" ht="15.75" customHeight="1">
      <c r="E762" s="18"/>
      <c r="G762" s="19"/>
      <c r="H762" s="18"/>
    </row>
    <row r="763" ht="15.75" customHeight="1">
      <c r="E763" s="18"/>
      <c r="G763" s="19"/>
      <c r="H763" s="18"/>
    </row>
    <row r="764" ht="15.75" customHeight="1">
      <c r="E764" s="18"/>
      <c r="G764" s="19"/>
      <c r="H764" s="18"/>
    </row>
    <row r="765" ht="15.75" customHeight="1">
      <c r="E765" s="18"/>
      <c r="G765" s="19"/>
      <c r="H765" s="18"/>
    </row>
    <row r="766" ht="15.75" customHeight="1">
      <c r="E766" s="18"/>
      <c r="G766" s="19"/>
      <c r="H766" s="18"/>
    </row>
    <row r="767" ht="15.75" customHeight="1">
      <c r="E767" s="18"/>
      <c r="G767" s="19"/>
      <c r="H767" s="18"/>
    </row>
    <row r="768" ht="15.75" customHeight="1">
      <c r="E768" s="18"/>
      <c r="G768" s="19"/>
      <c r="H768" s="18"/>
    </row>
    <row r="769" ht="15.75" customHeight="1">
      <c r="E769" s="18"/>
      <c r="G769" s="19"/>
      <c r="H769" s="18"/>
    </row>
    <row r="770" ht="15.75" customHeight="1">
      <c r="E770" s="18"/>
      <c r="G770" s="19"/>
      <c r="H770" s="18"/>
    </row>
    <row r="771" ht="15.75" customHeight="1">
      <c r="E771" s="18"/>
      <c r="G771" s="19"/>
      <c r="H771" s="18"/>
    </row>
    <row r="772" ht="15.75" customHeight="1">
      <c r="E772" s="18"/>
      <c r="G772" s="19"/>
      <c r="H772" s="18"/>
    </row>
    <row r="773" ht="15.75" customHeight="1">
      <c r="E773" s="18"/>
      <c r="G773" s="19"/>
      <c r="H773" s="18"/>
    </row>
    <row r="774" ht="15.75" customHeight="1">
      <c r="E774" s="18"/>
      <c r="G774" s="19"/>
      <c r="H774" s="18"/>
    </row>
    <row r="775" ht="15.75" customHeight="1">
      <c r="E775" s="18"/>
      <c r="G775" s="19"/>
      <c r="H775" s="18"/>
    </row>
    <row r="776" ht="15.75" customHeight="1">
      <c r="E776" s="18"/>
      <c r="G776" s="19"/>
      <c r="H776" s="18"/>
    </row>
    <row r="777" ht="15.75" customHeight="1">
      <c r="E777" s="18"/>
      <c r="G777" s="19"/>
      <c r="H777" s="18"/>
    </row>
    <row r="778" ht="15.75" customHeight="1">
      <c r="E778" s="18"/>
      <c r="G778" s="19"/>
      <c r="H778" s="18"/>
    </row>
    <row r="779" ht="15.75" customHeight="1">
      <c r="E779" s="18"/>
      <c r="G779" s="19"/>
      <c r="H779" s="18"/>
    </row>
    <row r="780" ht="15.75" customHeight="1">
      <c r="E780" s="18"/>
      <c r="G780" s="19"/>
      <c r="H780" s="18"/>
    </row>
    <row r="781" ht="15.75" customHeight="1">
      <c r="E781" s="18"/>
      <c r="G781" s="19"/>
      <c r="H781" s="18"/>
    </row>
    <row r="782" ht="15.75" customHeight="1">
      <c r="E782" s="18"/>
      <c r="G782" s="19"/>
      <c r="H782" s="18"/>
    </row>
    <row r="783" ht="15.75" customHeight="1">
      <c r="E783" s="18"/>
      <c r="G783" s="19"/>
      <c r="H783" s="18"/>
    </row>
    <row r="784" ht="15.75" customHeight="1">
      <c r="E784" s="18"/>
      <c r="G784" s="19"/>
      <c r="H784" s="18"/>
    </row>
    <row r="785" ht="15.75" customHeight="1">
      <c r="E785" s="18"/>
      <c r="G785" s="19"/>
      <c r="H785" s="18"/>
    </row>
    <row r="786" ht="15.75" customHeight="1">
      <c r="E786" s="18"/>
      <c r="G786" s="19"/>
      <c r="H786" s="18"/>
    </row>
    <row r="787" ht="15.75" customHeight="1">
      <c r="E787" s="18"/>
      <c r="G787" s="19"/>
      <c r="H787" s="18"/>
    </row>
    <row r="788" ht="15.75" customHeight="1">
      <c r="E788" s="18"/>
      <c r="G788" s="19"/>
      <c r="H788" s="18"/>
    </row>
    <row r="789" ht="15.75" customHeight="1">
      <c r="E789" s="18"/>
      <c r="G789" s="19"/>
      <c r="H789" s="18"/>
    </row>
    <row r="790" ht="15.75" customHeight="1">
      <c r="E790" s="18"/>
      <c r="G790" s="19"/>
      <c r="H790" s="18"/>
    </row>
    <row r="791" ht="15.75" customHeight="1">
      <c r="E791" s="18"/>
      <c r="G791" s="19"/>
      <c r="H791" s="18"/>
    </row>
    <row r="792" ht="15.75" customHeight="1">
      <c r="E792" s="18"/>
      <c r="G792" s="19"/>
      <c r="H792" s="18"/>
    </row>
    <row r="793" ht="15.75" customHeight="1">
      <c r="E793" s="18"/>
      <c r="G793" s="19"/>
      <c r="H793" s="18"/>
    </row>
    <row r="794" ht="15.75" customHeight="1">
      <c r="E794" s="18"/>
      <c r="G794" s="19"/>
      <c r="H794" s="18"/>
    </row>
    <row r="795" ht="15.75" customHeight="1">
      <c r="E795" s="18"/>
      <c r="G795" s="19"/>
      <c r="H795" s="18"/>
    </row>
    <row r="796" ht="15.75" customHeight="1">
      <c r="E796" s="18"/>
      <c r="G796" s="19"/>
      <c r="H796" s="18"/>
    </row>
    <row r="797" ht="15.75" customHeight="1">
      <c r="E797" s="18"/>
      <c r="G797" s="19"/>
      <c r="H797" s="18"/>
    </row>
    <row r="798" ht="15.75" customHeight="1">
      <c r="E798" s="18"/>
      <c r="G798" s="19"/>
      <c r="H798" s="18"/>
    </row>
    <row r="799" ht="15.75" customHeight="1">
      <c r="E799" s="18"/>
      <c r="G799" s="19"/>
      <c r="H799" s="18"/>
    </row>
    <row r="800" ht="15.75" customHeight="1">
      <c r="E800" s="18"/>
      <c r="G800" s="19"/>
      <c r="H800" s="18"/>
    </row>
    <row r="801" ht="15.75" customHeight="1">
      <c r="E801" s="18"/>
      <c r="G801" s="19"/>
      <c r="H801" s="18"/>
    </row>
    <row r="802" ht="15.75" customHeight="1">
      <c r="E802" s="18"/>
      <c r="G802" s="19"/>
      <c r="H802" s="18"/>
    </row>
    <row r="803" ht="15.75" customHeight="1">
      <c r="E803" s="18"/>
      <c r="G803" s="19"/>
      <c r="H803" s="18"/>
    </row>
    <row r="804" ht="15.75" customHeight="1">
      <c r="E804" s="18"/>
      <c r="G804" s="19"/>
      <c r="H804" s="18"/>
    </row>
    <row r="805" ht="15.75" customHeight="1">
      <c r="E805" s="18"/>
      <c r="G805" s="19"/>
      <c r="H805" s="18"/>
    </row>
    <row r="806" ht="15.75" customHeight="1">
      <c r="E806" s="18"/>
      <c r="G806" s="19"/>
      <c r="H806" s="18"/>
    </row>
    <row r="807" ht="15.75" customHeight="1">
      <c r="E807" s="18"/>
      <c r="G807" s="19"/>
      <c r="H807" s="18"/>
    </row>
    <row r="808" ht="15.75" customHeight="1">
      <c r="E808" s="18"/>
      <c r="G808" s="19"/>
      <c r="H808" s="18"/>
    </row>
    <row r="809" ht="15.75" customHeight="1">
      <c r="E809" s="18"/>
      <c r="G809" s="19"/>
      <c r="H809" s="18"/>
    </row>
    <row r="810" ht="15.75" customHeight="1">
      <c r="E810" s="18"/>
      <c r="G810" s="19"/>
      <c r="H810" s="18"/>
    </row>
    <row r="811" ht="15.75" customHeight="1">
      <c r="E811" s="18"/>
      <c r="G811" s="19"/>
      <c r="H811" s="18"/>
    </row>
    <row r="812" ht="15.75" customHeight="1">
      <c r="E812" s="18"/>
      <c r="G812" s="19"/>
      <c r="H812" s="18"/>
    </row>
    <row r="813" ht="15.75" customHeight="1">
      <c r="E813" s="18"/>
      <c r="G813" s="19"/>
      <c r="H813" s="18"/>
    </row>
    <row r="814" ht="15.75" customHeight="1">
      <c r="E814" s="18"/>
      <c r="G814" s="19"/>
      <c r="H814" s="18"/>
    </row>
    <row r="815" ht="15.75" customHeight="1">
      <c r="E815" s="18"/>
      <c r="G815" s="19"/>
      <c r="H815" s="18"/>
    </row>
    <row r="816" ht="15.75" customHeight="1">
      <c r="E816" s="18"/>
      <c r="G816" s="19"/>
      <c r="H816" s="18"/>
    </row>
    <row r="817" ht="15.75" customHeight="1">
      <c r="E817" s="18"/>
      <c r="G817" s="19"/>
      <c r="H817" s="18"/>
    </row>
    <row r="818" ht="15.75" customHeight="1">
      <c r="E818" s="18"/>
      <c r="G818" s="19"/>
      <c r="H818" s="18"/>
    </row>
    <row r="819" ht="15.75" customHeight="1">
      <c r="E819" s="18"/>
      <c r="G819" s="19"/>
      <c r="H819" s="18"/>
    </row>
    <row r="820" ht="15.75" customHeight="1">
      <c r="E820" s="18"/>
      <c r="G820" s="19"/>
      <c r="H820" s="18"/>
    </row>
    <row r="821" ht="15.75" customHeight="1">
      <c r="E821" s="18"/>
      <c r="G821" s="19"/>
      <c r="H821" s="18"/>
    </row>
    <row r="822" ht="15.75" customHeight="1">
      <c r="E822" s="18"/>
      <c r="G822" s="19"/>
      <c r="H822" s="18"/>
    </row>
    <row r="823" ht="15.75" customHeight="1">
      <c r="E823" s="18"/>
      <c r="G823" s="19"/>
      <c r="H823" s="18"/>
    </row>
    <row r="824" ht="15.75" customHeight="1">
      <c r="E824" s="18"/>
      <c r="G824" s="19"/>
      <c r="H824" s="18"/>
    </row>
    <row r="825" ht="15.75" customHeight="1">
      <c r="E825" s="18"/>
      <c r="G825" s="19"/>
      <c r="H825" s="18"/>
    </row>
    <row r="826" ht="15.75" customHeight="1">
      <c r="E826" s="18"/>
      <c r="G826" s="19"/>
      <c r="H826" s="18"/>
    </row>
    <row r="827" ht="15.75" customHeight="1">
      <c r="E827" s="18"/>
      <c r="G827" s="19"/>
      <c r="H827" s="18"/>
    </row>
    <row r="828" ht="15.75" customHeight="1">
      <c r="E828" s="18"/>
      <c r="G828" s="19"/>
      <c r="H828" s="18"/>
    </row>
    <row r="829" ht="15.75" customHeight="1">
      <c r="E829" s="18"/>
      <c r="G829" s="19"/>
      <c r="H829" s="18"/>
    </row>
    <row r="830" ht="15.75" customHeight="1">
      <c r="E830" s="18"/>
      <c r="G830" s="19"/>
      <c r="H830" s="18"/>
    </row>
    <row r="831" ht="15.75" customHeight="1">
      <c r="E831" s="18"/>
      <c r="G831" s="19"/>
      <c r="H831" s="18"/>
    </row>
    <row r="832" ht="15.75" customHeight="1">
      <c r="E832" s="18"/>
      <c r="G832" s="19"/>
      <c r="H832" s="18"/>
    </row>
    <row r="833" ht="15.75" customHeight="1">
      <c r="E833" s="18"/>
      <c r="G833" s="19"/>
      <c r="H833" s="18"/>
    </row>
    <row r="834" ht="15.75" customHeight="1">
      <c r="E834" s="18"/>
      <c r="G834" s="19"/>
      <c r="H834" s="18"/>
    </row>
    <row r="835" ht="15.75" customHeight="1">
      <c r="E835" s="18"/>
      <c r="G835" s="19"/>
      <c r="H835" s="18"/>
    </row>
    <row r="836" ht="15.75" customHeight="1">
      <c r="E836" s="18"/>
      <c r="G836" s="19"/>
      <c r="H836" s="18"/>
    </row>
    <row r="837" ht="15.75" customHeight="1">
      <c r="E837" s="18"/>
      <c r="G837" s="19"/>
      <c r="H837" s="18"/>
    </row>
    <row r="838" ht="15.75" customHeight="1">
      <c r="E838" s="18"/>
      <c r="G838" s="19"/>
      <c r="H838" s="18"/>
    </row>
    <row r="839" ht="15.75" customHeight="1">
      <c r="E839" s="18"/>
      <c r="G839" s="19"/>
      <c r="H839" s="18"/>
    </row>
    <row r="840" ht="15.75" customHeight="1">
      <c r="E840" s="18"/>
      <c r="G840" s="19"/>
      <c r="H840" s="18"/>
    </row>
    <row r="841" ht="15.75" customHeight="1">
      <c r="E841" s="18"/>
      <c r="G841" s="19"/>
      <c r="H841" s="18"/>
    </row>
    <row r="842" ht="15.75" customHeight="1">
      <c r="E842" s="18"/>
      <c r="G842" s="19"/>
      <c r="H842" s="18"/>
    </row>
    <row r="843" ht="15.75" customHeight="1">
      <c r="E843" s="18"/>
      <c r="G843" s="19"/>
      <c r="H843" s="18"/>
    </row>
    <row r="844" ht="15.75" customHeight="1">
      <c r="E844" s="18"/>
      <c r="G844" s="19"/>
      <c r="H844" s="18"/>
    </row>
    <row r="845" ht="15.75" customHeight="1">
      <c r="E845" s="18"/>
      <c r="G845" s="19"/>
      <c r="H845" s="18"/>
    </row>
    <row r="846" ht="15.75" customHeight="1">
      <c r="E846" s="18"/>
      <c r="G846" s="19"/>
      <c r="H846" s="18"/>
    </row>
    <row r="847" ht="15.75" customHeight="1">
      <c r="E847" s="18"/>
      <c r="G847" s="19"/>
      <c r="H847" s="18"/>
    </row>
    <row r="848" ht="15.75" customHeight="1">
      <c r="E848" s="18"/>
      <c r="G848" s="19"/>
      <c r="H848" s="18"/>
    </row>
    <row r="849" ht="15.75" customHeight="1">
      <c r="E849" s="18"/>
      <c r="G849" s="19"/>
      <c r="H849" s="18"/>
    </row>
    <row r="850" ht="15.75" customHeight="1">
      <c r="E850" s="18"/>
      <c r="G850" s="19"/>
      <c r="H850" s="18"/>
    </row>
    <row r="851" ht="15.75" customHeight="1">
      <c r="E851" s="18"/>
      <c r="G851" s="19"/>
      <c r="H851" s="18"/>
    </row>
    <row r="852" ht="15.75" customHeight="1">
      <c r="E852" s="18"/>
      <c r="G852" s="19"/>
      <c r="H852" s="18"/>
    </row>
    <row r="853" ht="15.75" customHeight="1">
      <c r="E853" s="18"/>
      <c r="G853" s="19"/>
      <c r="H853" s="18"/>
    </row>
    <row r="854" ht="15.75" customHeight="1">
      <c r="E854" s="18"/>
      <c r="G854" s="19"/>
      <c r="H854" s="18"/>
    </row>
    <row r="855" ht="15.75" customHeight="1">
      <c r="E855" s="18"/>
      <c r="G855" s="19"/>
      <c r="H855" s="18"/>
    </row>
    <row r="856" ht="15.75" customHeight="1">
      <c r="E856" s="18"/>
      <c r="G856" s="19"/>
      <c r="H856" s="18"/>
    </row>
    <row r="857" ht="15.75" customHeight="1">
      <c r="E857" s="18"/>
      <c r="G857" s="19"/>
      <c r="H857" s="18"/>
    </row>
    <row r="858" ht="15.75" customHeight="1">
      <c r="E858" s="18"/>
      <c r="G858" s="19"/>
      <c r="H858" s="18"/>
    </row>
    <row r="859" ht="15.75" customHeight="1">
      <c r="E859" s="18"/>
      <c r="G859" s="19"/>
      <c r="H859" s="18"/>
    </row>
    <row r="860" ht="15.75" customHeight="1">
      <c r="E860" s="18"/>
      <c r="G860" s="19"/>
      <c r="H860" s="18"/>
    </row>
    <row r="861" ht="15.75" customHeight="1">
      <c r="E861" s="18"/>
      <c r="G861" s="19"/>
      <c r="H861" s="18"/>
    </row>
    <row r="862" ht="15.75" customHeight="1">
      <c r="E862" s="18"/>
      <c r="G862" s="19"/>
      <c r="H862" s="18"/>
    </row>
    <row r="863" ht="15.75" customHeight="1">
      <c r="E863" s="18"/>
      <c r="G863" s="19"/>
      <c r="H863" s="18"/>
    </row>
    <row r="864" ht="15.75" customHeight="1">
      <c r="E864" s="18"/>
      <c r="G864" s="19"/>
      <c r="H864" s="18"/>
    </row>
    <row r="865" ht="15.75" customHeight="1">
      <c r="E865" s="18"/>
      <c r="G865" s="19"/>
      <c r="H865" s="18"/>
    </row>
    <row r="866" ht="15.75" customHeight="1">
      <c r="E866" s="18"/>
      <c r="G866" s="19"/>
      <c r="H866" s="18"/>
    </row>
    <row r="867" ht="15.75" customHeight="1">
      <c r="E867" s="18"/>
      <c r="G867" s="19"/>
      <c r="H867" s="18"/>
    </row>
    <row r="868" ht="15.75" customHeight="1">
      <c r="E868" s="18"/>
      <c r="G868" s="19"/>
      <c r="H868" s="18"/>
    </row>
    <row r="869" ht="15.75" customHeight="1">
      <c r="E869" s="18"/>
      <c r="G869" s="19"/>
      <c r="H869" s="18"/>
    </row>
    <row r="870" ht="15.75" customHeight="1">
      <c r="E870" s="18"/>
      <c r="G870" s="19"/>
      <c r="H870" s="18"/>
    </row>
    <row r="871" ht="15.75" customHeight="1">
      <c r="E871" s="18"/>
      <c r="G871" s="19"/>
      <c r="H871" s="18"/>
    </row>
    <row r="872" ht="15.75" customHeight="1">
      <c r="E872" s="18"/>
      <c r="G872" s="19"/>
      <c r="H872" s="18"/>
    </row>
    <row r="873" ht="15.75" customHeight="1">
      <c r="E873" s="18"/>
      <c r="G873" s="19"/>
      <c r="H873" s="18"/>
    </row>
    <row r="874" ht="15.75" customHeight="1">
      <c r="E874" s="18"/>
      <c r="G874" s="19"/>
      <c r="H874" s="18"/>
    </row>
    <row r="875" ht="15.75" customHeight="1">
      <c r="E875" s="18"/>
      <c r="G875" s="19"/>
      <c r="H875" s="18"/>
    </row>
    <row r="876" ht="15.75" customHeight="1">
      <c r="E876" s="18"/>
      <c r="G876" s="19"/>
      <c r="H876" s="18"/>
    </row>
    <row r="877" ht="15.75" customHeight="1">
      <c r="E877" s="18"/>
      <c r="G877" s="19"/>
      <c r="H877" s="18"/>
    </row>
    <row r="878" ht="15.75" customHeight="1">
      <c r="E878" s="18"/>
      <c r="G878" s="19"/>
      <c r="H878" s="18"/>
    </row>
    <row r="879" ht="15.75" customHeight="1">
      <c r="E879" s="18"/>
      <c r="G879" s="19"/>
      <c r="H879" s="18"/>
    </row>
    <row r="880" ht="15.75" customHeight="1">
      <c r="E880" s="18"/>
      <c r="G880" s="19"/>
      <c r="H880" s="18"/>
    </row>
    <row r="881" ht="15.75" customHeight="1">
      <c r="E881" s="18"/>
      <c r="G881" s="19"/>
      <c r="H881" s="18"/>
    </row>
    <row r="882" ht="15.75" customHeight="1">
      <c r="E882" s="18"/>
      <c r="G882" s="19"/>
      <c r="H882" s="18"/>
    </row>
    <row r="883" ht="15.75" customHeight="1">
      <c r="E883" s="18"/>
      <c r="G883" s="19"/>
      <c r="H883" s="18"/>
    </row>
    <row r="884" ht="15.75" customHeight="1">
      <c r="E884" s="18"/>
      <c r="G884" s="19"/>
      <c r="H884" s="18"/>
    </row>
    <row r="885" ht="15.75" customHeight="1">
      <c r="E885" s="18"/>
      <c r="G885" s="19"/>
      <c r="H885" s="18"/>
    </row>
    <row r="886" ht="15.75" customHeight="1">
      <c r="E886" s="18"/>
      <c r="G886" s="19"/>
      <c r="H886" s="18"/>
    </row>
    <row r="887" ht="15.75" customHeight="1">
      <c r="E887" s="18"/>
      <c r="G887" s="19"/>
      <c r="H887" s="18"/>
    </row>
    <row r="888" ht="15.75" customHeight="1">
      <c r="E888" s="18"/>
      <c r="G888" s="19"/>
      <c r="H888" s="18"/>
    </row>
    <row r="889" ht="15.75" customHeight="1">
      <c r="E889" s="18"/>
      <c r="G889" s="19"/>
      <c r="H889" s="18"/>
    </row>
    <row r="890" ht="15.75" customHeight="1">
      <c r="E890" s="18"/>
      <c r="G890" s="19"/>
      <c r="H890" s="18"/>
    </row>
    <row r="891" ht="15.75" customHeight="1">
      <c r="E891" s="18"/>
      <c r="G891" s="19"/>
      <c r="H891" s="18"/>
    </row>
    <row r="892" ht="15.75" customHeight="1">
      <c r="E892" s="18"/>
      <c r="G892" s="19"/>
      <c r="H892" s="18"/>
    </row>
    <row r="893" ht="15.75" customHeight="1">
      <c r="E893" s="18"/>
      <c r="G893" s="19"/>
      <c r="H893" s="18"/>
    </row>
    <row r="894" ht="15.75" customHeight="1">
      <c r="E894" s="18"/>
      <c r="G894" s="19"/>
      <c r="H894" s="18"/>
    </row>
    <row r="895" ht="15.75" customHeight="1">
      <c r="E895" s="18"/>
      <c r="G895" s="19"/>
      <c r="H895" s="18"/>
    </row>
    <row r="896" ht="15.75" customHeight="1">
      <c r="E896" s="18"/>
      <c r="G896" s="19"/>
      <c r="H896" s="18"/>
    </row>
    <row r="897" ht="15.75" customHeight="1">
      <c r="E897" s="18"/>
      <c r="G897" s="19"/>
      <c r="H897" s="18"/>
    </row>
    <row r="898" ht="15.75" customHeight="1">
      <c r="E898" s="18"/>
      <c r="G898" s="19"/>
      <c r="H898" s="18"/>
    </row>
    <row r="899" ht="15.75" customHeight="1">
      <c r="E899" s="18"/>
      <c r="G899" s="19"/>
      <c r="H899" s="18"/>
    </row>
    <row r="900" ht="15.75" customHeight="1">
      <c r="E900" s="18"/>
      <c r="G900" s="19"/>
      <c r="H900" s="18"/>
    </row>
    <row r="901" ht="15.75" customHeight="1">
      <c r="E901" s="18"/>
      <c r="G901" s="19"/>
      <c r="H901" s="18"/>
    </row>
    <row r="902" ht="15.75" customHeight="1">
      <c r="E902" s="18"/>
      <c r="G902" s="19"/>
      <c r="H902" s="18"/>
    </row>
    <row r="903" ht="15.75" customHeight="1">
      <c r="E903" s="18"/>
      <c r="G903" s="19"/>
      <c r="H903" s="18"/>
    </row>
    <row r="904" ht="15.75" customHeight="1">
      <c r="E904" s="18"/>
      <c r="G904" s="19"/>
      <c r="H904" s="18"/>
    </row>
    <row r="905" ht="15.75" customHeight="1">
      <c r="E905" s="18"/>
      <c r="G905" s="19"/>
      <c r="H905" s="18"/>
    </row>
    <row r="906" ht="15.75" customHeight="1">
      <c r="E906" s="18"/>
      <c r="G906" s="19"/>
      <c r="H906" s="18"/>
    </row>
    <row r="907" ht="15.75" customHeight="1">
      <c r="E907" s="18"/>
      <c r="G907" s="19"/>
      <c r="H907" s="18"/>
    </row>
    <row r="908" ht="15.75" customHeight="1">
      <c r="E908" s="18"/>
      <c r="G908" s="19"/>
      <c r="H908" s="18"/>
    </row>
    <row r="909" ht="15.75" customHeight="1">
      <c r="E909" s="18"/>
      <c r="G909" s="19"/>
      <c r="H909" s="18"/>
    </row>
    <row r="910" ht="15.75" customHeight="1">
      <c r="E910" s="18"/>
      <c r="G910" s="19"/>
      <c r="H910" s="18"/>
    </row>
    <row r="911" ht="15.75" customHeight="1">
      <c r="E911" s="18"/>
      <c r="G911" s="19"/>
      <c r="H911" s="18"/>
    </row>
    <row r="912" ht="15.75" customHeight="1">
      <c r="E912" s="18"/>
      <c r="G912" s="19"/>
      <c r="H912" s="18"/>
    </row>
    <row r="913" ht="15.75" customHeight="1">
      <c r="E913" s="18"/>
      <c r="G913" s="19"/>
      <c r="H913" s="18"/>
    </row>
    <row r="914" ht="15.75" customHeight="1">
      <c r="E914" s="18"/>
      <c r="G914" s="19"/>
      <c r="H914" s="18"/>
    </row>
    <row r="915" ht="15.75" customHeight="1">
      <c r="E915" s="18"/>
      <c r="G915" s="19"/>
      <c r="H915" s="18"/>
    </row>
    <row r="916" ht="15.75" customHeight="1">
      <c r="E916" s="18"/>
      <c r="G916" s="19"/>
      <c r="H916" s="18"/>
    </row>
    <row r="917" ht="15.75" customHeight="1">
      <c r="E917" s="18"/>
      <c r="G917" s="19"/>
      <c r="H917" s="18"/>
    </row>
    <row r="918" ht="15.75" customHeight="1">
      <c r="E918" s="18"/>
      <c r="G918" s="19"/>
      <c r="H918" s="18"/>
    </row>
    <row r="919" ht="15.75" customHeight="1">
      <c r="E919" s="18"/>
      <c r="G919" s="19"/>
      <c r="H919" s="18"/>
    </row>
    <row r="920" ht="15.75" customHeight="1">
      <c r="E920" s="18"/>
      <c r="G920" s="19"/>
      <c r="H920" s="18"/>
    </row>
    <row r="921" ht="15.75" customHeight="1">
      <c r="E921" s="18"/>
      <c r="G921" s="19"/>
      <c r="H921" s="18"/>
    </row>
    <row r="922" ht="15.75" customHeight="1">
      <c r="E922" s="18"/>
      <c r="G922" s="19"/>
      <c r="H922" s="18"/>
    </row>
    <row r="923" ht="15.75" customHeight="1">
      <c r="E923" s="18"/>
      <c r="G923" s="19"/>
      <c r="H923" s="18"/>
    </row>
    <row r="924" ht="15.75" customHeight="1">
      <c r="E924" s="18"/>
      <c r="G924" s="19"/>
      <c r="H924" s="18"/>
    </row>
    <row r="925" ht="15.75" customHeight="1">
      <c r="E925" s="18"/>
      <c r="G925" s="19"/>
      <c r="H925" s="18"/>
    </row>
    <row r="926" ht="15.75" customHeight="1">
      <c r="E926" s="18"/>
      <c r="G926" s="19"/>
      <c r="H926" s="18"/>
    </row>
    <row r="927" ht="15.75" customHeight="1">
      <c r="E927" s="18"/>
      <c r="G927" s="19"/>
      <c r="H927" s="18"/>
    </row>
    <row r="928" ht="15.75" customHeight="1">
      <c r="E928" s="18"/>
      <c r="G928" s="19"/>
      <c r="H928" s="18"/>
    </row>
    <row r="929" ht="15.75" customHeight="1">
      <c r="E929" s="18"/>
      <c r="G929" s="19"/>
      <c r="H929" s="18"/>
    </row>
    <row r="930" ht="15.75" customHeight="1">
      <c r="E930" s="18"/>
      <c r="G930" s="19"/>
      <c r="H930" s="18"/>
    </row>
    <row r="931" ht="15.75" customHeight="1">
      <c r="E931" s="18"/>
      <c r="G931" s="19"/>
      <c r="H931" s="18"/>
    </row>
    <row r="932" ht="15.75" customHeight="1">
      <c r="E932" s="18"/>
      <c r="G932" s="19"/>
      <c r="H932" s="18"/>
    </row>
    <row r="933" ht="15.75" customHeight="1">
      <c r="E933" s="18"/>
      <c r="G933" s="19"/>
      <c r="H933" s="18"/>
    </row>
    <row r="934" ht="15.75" customHeight="1">
      <c r="E934" s="18"/>
      <c r="G934" s="19"/>
      <c r="H934" s="18"/>
    </row>
    <row r="935" ht="15.75" customHeight="1">
      <c r="E935" s="18"/>
      <c r="G935" s="19"/>
      <c r="H935" s="18"/>
    </row>
    <row r="936" ht="15.75" customHeight="1">
      <c r="E936" s="18"/>
      <c r="G936" s="19"/>
      <c r="H936" s="18"/>
    </row>
    <row r="937" ht="15.75" customHeight="1">
      <c r="E937" s="18"/>
      <c r="G937" s="19"/>
      <c r="H937" s="18"/>
    </row>
    <row r="938" ht="15.75" customHeight="1">
      <c r="E938" s="18"/>
      <c r="G938" s="19"/>
      <c r="H938" s="18"/>
    </row>
    <row r="939" ht="15.75" customHeight="1">
      <c r="E939" s="18"/>
      <c r="G939" s="19"/>
      <c r="H939" s="18"/>
    </row>
    <row r="940" ht="15.75" customHeight="1">
      <c r="E940" s="18"/>
      <c r="G940" s="19"/>
      <c r="H940" s="18"/>
    </row>
    <row r="941" ht="15.75" customHeight="1">
      <c r="E941" s="18"/>
      <c r="G941" s="19"/>
      <c r="H941" s="18"/>
    </row>
    <row r="942" ht="15.75" customHeight="1">
      <c r="E942" s="18"/>
      <c r="G942" s="19"/>
      <c r="H942" s="18"/>
    </row>
    <row r="943" ht="15.75" customHeight="1">
      <c r="E943" s="18"/>
      <c r="G943" s="19"/>
      <c r="H943" s="18"/>
    </row>
    <row r="944" ht="15.75" customHeight="1">
      <c r="E944" s="18"/>
      <c r="G944" s="19"/>
      <c r="H944" s="18"/>
    </row>
    <row r="945" ht="15.75" customHeight="1">
      <c r="E945" s="18"/>
      <c r="G945" s="19"/>
      <c r="H945" s="18"/>
    </row>
    <row r="946" ht="15.75" customHeight="1">
      <c r="E946" s="18"/>
      <c r="G946" s="19"/>
      <c r="H946" s="18"/>
    </row>
    <row r="947" ht="15.75" customHeight="1">
      <c r="E947" s="18"/>
      <c r="G947" s="19"/>
      <c r="H947" s="18"/>
    </row>
    <row r="948" ht="15.75" customHeight="1">
      <c r="E948" s="18"/>
      <c r="G948" s="19"/>
      <c r="H948" s="18"/>
    </row>
    <row r="949" ht="15.75" customHeight="1">
      <c r="E949" s="18"/>
      <c r="G949" s="19"/>
      <c r="H949" s="18"/>
    </row>
    <row r="950" ht="15.75" customHeight="1">
      <c r="E950" s="18"/>
      <c r="G950" s="19"/>
      <c r="H950" s="18"/>
    </row>
    <row r="951" ht="15.75" customHeight="1">
      <c r="E951" s="18"/>
      <c r="G951" s="19"/>
      <c r="H951" s="18"/>
    </row>
    <row r="952" ht="15.75" customHeight="1">
      <c r="E952" s="18"/>
      <c r="G952" s="19"/>
      <c r="H952" s="18"/>
    </row>
    <row r="953" ht="15.75" customHeight="1">
      <c r="E953" s="18"/>
      <c r="G953" s="19"/>
      <c r="H953" s="18"/>
    </row>
    <row r="954" ht="15.75" customHeight="1">
      <c r="E954" s="18"/>
      <c r="G954" s="19"/>
      <c r="H954" s="18"/>
    </row>
    <row r="955" ht="15.75" customHeight="1">
      <c r="E955" s="18"/>
      <c r="G955" s="19"/>
      <c r="H955" s="18"/>
    </row>
    <row r="956" ht="15.75" customHeight="1">
      <c r="E956" s="18"/>
      <c r="G956" s="19"/>
      <c r="H956" s="18"/>
    </row>
    <row r="957" ht="15.75" customHeight="1">
      <c r="E957" s="18"/>
      <c r="G957" s="19"/>
      <c r="H957" s="18"/>
    </row>
    <row r="958" ht="15.75" customHeight="1">
      <c r="E958" s="18"/>
      <c r="G958" s="19"/>
      <c r="H958" s="18"/>
    </row>
    <row r="959" ht="15.75" customHeight="1">
      <c r="E959" s="18"/>
      <c r="G959" s="19"/>
      <c r="H959" s="18"/>
    </row>
    <row r="960" ht="15.75" customHeight="1">
      <c r="E960" s="18"/>
      <c r="G960" s="19"/>
      <c r="H960" s="18"/>
    </row>
    <row r="961" ht="15.75" customHeight="1">
      <c r="E961" s="18"/>
      <c r="G961" s="19"/>
      <c r="H961" s="18"/>
    </row>
    <row r="962" ht="15.75" customHeight="1">
      <c r="E962" s="18"/>
      <c r="G962" s="19"/>
      <c r="H962" s="18"/>
    </row>
    <row r="963" ht="15.75" customHeight="1">
      <c r="E963" s="18"/>
      <c r="G963" s="19"/>
      <c r="H963" s="18"/>
    </row>
    <row r="964" ht="15.75" customHeight="1">
      <c r="E964" s="18"/>
      <c r="G964" s="19"/>
      <c r="H964" s="18"/>
    </row>
    <row r="965" ht="15.75" customHeight="1">
      <c r="E965" s="18"/>
      <c r="G965" s="19"/>
      <c r="H965" s="18"/>
    </row>
    <row r="966" ht="15.75" customHeight="1">
      <c r="E966" s="18"/>
      <c r="G966" s="19"/>
      <c r="H966" s="18"/>
    </row>
    <row r="967" ht="15.75" customHeight="1">
      <c r="E967" s="18"/>
      <c r="G967" s="19"/>
      <c r="H967" s="18"/>
    </row>
    <row r="968" ht="15.75" customHeight="1">
      <c r="E968" s="18"/>
      <c r="G968" s="19"/>
      <c r="H968" s="18"/>
    </row>
    <row r="969" ht="15.75" customHeight="1">
      <c r="E969" s="18"/>
      <c r="G969" s="19"/>
      <c r="H969" s="18"/>
    </row>
    <row r="970" ht="15.75" customHeight="1">
      <c r="E970" s="18"/>
      <c r="G970" s="19"/>
      <c r="H970" s="18"/>
    </row>
    <row r="971" ht="15.75" customHeight="1">
      <c r="E971" s="18"/>
      <c r="G971" s="19"/>
      <c r="H971" s="18"/>
    </row>
    <row r="972" ht="15.75" customHeight="1">
      <c r="E972" s="18"/>
      <c r="G972" s="19"/>
      <c r="H972" s="18"/>
    </row>
    <row r="973" ht="15.75" customHeight="1">
      <c r="E973" s="18"/>
      <c r="G973" s="19"/>
      <c r="H973" s="18"/>
    </row>
    <row r="974" ht="15.75" customHeight="1">
      <c r="E974" s="18"/>
      <c r="G974" s="19"/>
      <c r="H974" s="18"/>
    </row>
    <row r="975" ht="15.75" customHeight="1">
      <c r="E975" s="18"/>
      <c r="G975" s="19"/>
      <c r="H975" s="18"/>
    </row>
    <row r="976" ht="15.75" customHeight="1">
      <c r="E976" s="18"/>
      <c r="G976" s="19"/>
      <c r="H976" s="18"/>
    </row>
    <row r="977" ht="15.75" customHeight="1">
      <c r="E977" s="18"/>
      <c r="G977" s="19"/>
      <c r="H977" s="18"/>
    </row>
    <row r="978" ht="15.75" customHeight="1">
      <c r="E978" s="18"/>
      <c r="G978" s="19"/>
      <c r="H978" s="18"/>
    </row>
    <row r="979" ht="15.75" customHeight="1">
      <c r="E979" s="18"/>
      <c r="G979" s="19"/>
      <c r="H979" s="18"/>
    </row>
    <row r="980" ht="15.75" customHeight="1">
      <c r="E980" s="18"/>
      <c r="G980" s="19"/>
      <c r="H980" s="18"/>
    </row>
    <row r="981" ht="15.75" customHeight="1">
      <c r="E981" s="18"/>
      <c r="G981" s="19"/>
      <c r="H981" s="18"/>
    </row>
    <row r="982" ht="15.75" customHeight="1">
      <c r="E982" s="18"/>
      <c r="G982" s="19"/>
      <c r="H982" s="18"/>
    </row>
    <row r="983" ht="15.75" customHeight="1">
      <c r="E983" s="18"/>
      <c r="G983" s="19"/>
      <c r="H983" s="18"/>
    </row>
    <row r="984" ht="15.75" customHeight="1">
      <c r="E984" s="18"/>
      <c r="G984" s="19"/>
      <c r="H984" s="18"/>
    </row>
    <row r="985" ht="15.75" customHeight="1">
      <c r="E985" s="18"/>
      <c r="G985" s="19"/>
      <c r="H985" s="18"/>
    </row>
    <row r="986" ht="15.75" customHeight="1">
      <c r="E986" s="18"/>
      <c r="G986" s="19"/>
      <c r="H986" s="18"/>
    </row>
    <row r="987" ht="15.75" customHeight="1">
      <c r="E987" s="18"/>
      <c r="G987" s="19"/>
      <c r="H987" s="18"/>
    </row>
    <row r="988" ht="15.75" customHeight="1">
      <c r="E988" s="18"/>
      <c r="G988" s="19"/>
      <c r="H988" s="18"/>
    </row>
    <row r="989" ht="15.75" customHeight="1">
      <c r="E989" s="18"/>
      <c r="G989" s="19"/>
      <c r="H989" s="18"/>
    </row>
    <row r="990" ht="15.75" customHeight="1">
      <c r="E990" s="18"/>
      <c r="G990" s="19"/>
      <c r="H990" s="18"/>
    </row>
    <row r="991" ht="15.75" customHeight="1">
      <c r="E991" s="18"/>
      <c r="G991" s="19"/>
      <c r="H991" s="18"/>
    </row>
    <row r="992" ht="15.75" customHeight="1">
      <c r="E992" s="18"/>
      <c r="G992" s="19"/>
      <c r="H992" s="18"/>
    </row>
    <row r="993" ht="15.75" customHeight="1">
      <c r="E993" s="18"/>
      <c r="G993" s="19"/>
      <c r="H993" s="18"/>
    </row>
    <row r="994" ht="15.75" customHeight="1">
      <c r="E994" s="18"/>
      <c r="G994" s="19"/>
      <c r="H994" s="18"/>
    </row>
    <row r="995" ht="15.75" customHeight="1">
      <c r="E995" s="18"/>
      <c r="G995" s="19"/>
      <c r="H995" s="18"/>
    </row>
    <row r="996" ht="15.75" customHeight="1">
      <c r="E996" s="18"/>
      <c r="G996" s="19"/>
      <c r="H996" s="18"/>
    </row>
    <row r="997" ht="15.75" customHeight="1">
      <c r="E997" s="18"/>
      <c r="G997" s="19"/>
      <c r="H997" s="18"/>
    </row>
    <row r="998" ht="15.75" customHeight="1">
      <c r="E998" s="18"/>
      <c r="G998" s="19"/>
      <c r="H998" s="18"/>
    </row>
    <row r="999" ht="15.75" customHeight="1">
      <c r="E999" s="18"/>
      <c r="G999" s="19"/>
      <c r="H999" s="18"/>
    </row>
    <row r="1000" ht="15.75" customHeight="1">
      <c r="E1000" s="18"/>
      <c r="G1000" s="19"/>
      <c r="H1000" s="18"/>
    </row>
    <row r="1001" ht="15.75" customHeight="1">
      <c r="E1001" s="18"/>
      <c r="G1001" s="19"/>
      <c r="H1001" s="18"/>
    </row>
    <row r="1002" ht="15.75" customHeight="1">
      <c r="E1002" s="18"/>
      <c r="G1002" s="19"/>
      <c r="H1002" s="18"/>
    </row>
    <row r="1003" ht="15.75" customHeight="1">
      <c r="E1003" s="18"/>
      <c r="G1003" s="19"/>
      <c r="H1003" s="18"/>
    </row>
    <row r="1004" ht="15.75" customHeight="1">
      <c r="E1004" s="18"/>
      <c r="G1004" s="19"/>
      <c r="H1004" s="18"/>
    </row>
    <row r="1005" ht="15.75" customHeight="1">
      <c r="E1005" s="18"/>
      <c r="G1005" s="19"/>
      <c r="H1005" s="18"/>
    </row>
    <row r="1006" ht="15.75" customHeight="1">
      <c r="E1006" s="18"/>
      <c r="G1006" s="19"/>
      <c r="H1006" s="18"/>
    </row>
    <row r="1007" ht="15.75" customHeight="1">
      <c r="E1007" s="18"/>
      <c r="G1007" s="19"/>
      <c r="H1007" s="18"/>
    </row>
    <row r="1008" ht="15.75" customHeight="1">
      <c r="E1008" s="18"/>
      <c r="G1008" s="19"/>
      <c r="H1008" s="18"/>
    </row>
    <row r="1009" ht="15.75" customHeight="1">
      <c r="E1009" s="18"/>
      <c r="G1009" s="19"/>
      <c r="H1009" s="18"/>
    </row>
    <row r="1010" ht="15.75" customHeight="1">
      <c r="E1010" s="18"/>
      <c r="G1010" s="19"/>
      <c r="H1010" s="18"/>
    </row>
    <row r="1011" ht="15.75" customHeight="1">
      <c r="E1011" s="18"/>
      <c r="G1011" s="19"/>
      <c r="H1011" s="18"/>
    </row>
    <row r="1012" ht="15.75" customHeight="1">
      <c r="E1012" s="18"/>
      <c r="G1012" s="19"/>
      <c r="H1012" s="18"/>
    </row>
    <row r="1013" ht="15.75" customHeight="1">
      <c r="E1013" s="18"/>
      <c r="G1013" s="19"/>
      <c r="H1013" s="18"/>
    </row>
    <row r="1014" ht="15.75" customHeight="1">
      <c r="E1014" s="18"/>
      <c r="G1014" s="19"/>
      <c r="H1014" s="18"/>
    </row>
    <row r="1015" ht="15.75" customHeight="1">
      <c r="E1015" s="18"/>
      <c r="G1015" s="19"/>
      <c r="H1015" s="18"/>
    </row>
    <row r="1016" ht="15.75" customHeight="1">
      <c r="E1016" s="18"/>
      <c r="G1016" s="19"/>
      <c r="H1016" s="18"/>
    </row>
    <row r="1017" ht="15.75" customHeight="1">
      <c r="E1017" s="18"/>
      <c r="G1017" s="19"/>
      <c r="H1017" s="18"/>
    </row>
    <row r="1018" ht="15.75" customHeight="1">
      <c r="E1018" s="18"/>
      <c r="G1018" s="19"/>
      <c r="H1018" s="18"/>
    </row>
    <row r="1019" ht="15.75" customHeight="1">
      <c r="E1019" s="18"/>
      <c r="G1019" s="19"/>
      <c r="H1019" s="18"/>
    </row>
    <row r="1020" ht="15.75" customHeight="1">
      <c r="E1020" s="18"/>
      <c r="G1020" s="19"/>
      <c r="H1020" s="18"/>
    </row>
    <row r="1021" ht="15.75" customHeight="1">
      <c r="E1021" s="18"/>
      <c r="G1021" s="19"/>
      <c r="H1021" s="18"/>
    </row>
    <row r="1022" ht="15.75" customHeight="1">
      <c r="E1022" s="18"/>
      <c r="G1022" s="19"/>
      <c r="H1022" s="18"/>
    </row>
    <row r="1023" ht="15.75" customHeight="1">
      <c r="E1023" s="18"/>
      <c r="G1023" s="19"/>
      <c r="H1023" s="18"/>
    </row>
    <row r="1024" ht="15.75" customHeight="1">
      <c r="E1024" s="18"/>
      <c r="G1024" s="19"/>
      <c r="H1024" s="18"/>
    </row>
    <row r="1025" ht="15.75" customHeight="1">
      <c r="E1025" s="18"/>
      <c r="G1025" s="19"/>
      <c r="H1025" s="18"/>
    </row>
    <row r="1026" ht="15.75" customHeight="1">
      <c r="E1026" s="18"/>
      <c r="G1026" s="19"/>
      <c r="H1026" s="18"/>
    </row>
    <row r="1027" ht="15.75" customHeight="1">
      <c r="E1027" s="18"/>
      <c r="G1027" s="19"/>
      <c r="H1027" s="18"/>
    </row>
    <row r="1028" ht="15.75" customHeight="1">
      <c r="E1028" s="18"/>
      <c r="G1028" s="19"/>
      <c r="H1028" s="18"/>
    </row>
    <row r="1029" ht="15.75" customHeight="1">
      <c r="E1029" s="18"/>
      <c r="G1029" s="19"/>
      <c r="H1029" s="18"/>
    </row>
    <row r="1030" ht="15.75" customHeight="1">
      <c r="E1030" s="18"/>
      <c r="G1030" s="19"/>
      <c r="H1030" s="18"/>
    </row>
    <row r="1031" ht="15.75" customHeight="1">
      <c r="E1031" s="18"/>
      <c r="G1031" s="19"/>
      <c r="H1031" s="18"/>
    </row>
    <row r="1032" ht="15.75" customHeight="1">
      <c r="E1032" s="18"/>
      <c r="G1032" s="19"/>
      <c r="H1032" s="18"/>
    </row>
    <row r="1033" ht="15.75" customHeight="1">
      <c r="E1033" s="18"/>
      <c r="G1033" s="19"/>
      <c r="H1033" s="18"/>
    </row>
    <row r="1034" ht="15.75" customHeight="1">
      <c r="E1034" s="18"/>
      <c r="G1034" s="19"/>
      <c r="H1034" s="18"/>
    </row>
    <row r="1035" ht="15.75" customHeight="1">
      <c r="E1035" s="18"/>
      <c r="G1035" s="19"/>
      <c r="H1035" s="18"/>
    </row>
    <row r="1036" ht="15.75" customHeight="1">
      <c r="E1036" s="18"/>
      <c r="G1036" s="19"/>
      <c r="H1036" s="18"/>
    </row>
    <row r="1037" ht="15.75" customHeight="1">
      <c r="E1037" s="18"/>
      <c r="G1037" s="19"/>
      <c r="H1037" s="18"/>
    </row>
    <row r="1038" ht="15.75" customHeight="1">
      <c r="E1038" s="18"/>
      <c r="G1038" s="19"/>
      <c r="H1038" s="18"/>
    </row>
    <row r="1039" ht="15.75" customHeight="1">
      <c r="E1039" s="18"/>
      <c r="G1039" s="19"/>
      <c r="H1039" s="18"/>
    </row>
    <row r="1040" ht="15.75" customHeight="1">
      <c r="E1040" s="18"/>
      <c r="G1040" s="19"/>
      <c r="H1040" s="18"/>
    </row>
    <row r="1041" ht="15.75" customHeight="1">
      <c r="E1041" s="18"/>
      <c r="G1041" s="19"/>
      <c r="H1041" s="18"/>
    </row>
    <row r="1042" ht="15.75" customHeight="1">
      <c r="E1042" s="18"/>
      <c r="G1042" s="19"/>
      <c r="H1042" s="18"/>
    </row>
    <row r="1043" ht="15.75" customHeight="1">
      <c r="E1043" s="18"/>
      <c r="G1043" s="19"/>
      <c r="H1043" s="18"/>
    </row>
    <row r="1044" ht="15.75" customHeight="1">
      <c r="E1044" s="18"/>
      <c r="G1044" s="19"/>
      <c r="H1044" s="18"/>
    </row>
    <row r="1045" ht="15.75" customHeight="1">
      <c r="E1045" s="18"/>
      <c r="G1045" s="19"/>
      <c r="H1045" s="18"/>
    </row>
    <row r="1046" ht="15.75" customHeight="1">
      <c r="E1046" s="18"/>
      <c r="G1046" s="19"/>
      <c r="H1046" s="18"/>
    </row>
    <row r="1047" ht="15.75" customHeight="1">
      <c r="E1047" s="18"/>
      <c r="G1047" s="19"/>
      <c r="H1047" s="18"/>
    </row>
    <row r="1048" ht="15.75" customHeight="1">
      <c r="E1048" s="18"/>
      <c r="G1048" s="19"/>
      <c r="H1048" s="18"/>
    </row>
    <row r="1049" ht="15.75" customHeight="1">
      <c r="E1049" s="18"/>
      <c r="G1049" s="19"/>
      <c r="H1049" s="18"/>
    </row>
    <row r="1050" ht="15.75" customHeight="1">
      <c r="E1050" s="18"/>
      <c r="G1050" s="19"/>
      <c r="H1050" s="18"/>
    </row>
    <row r="1051" ht="15.75" customHeight="1">
      <c r="E1051" s="18"/>
      <c r="G1051" s="19"/>
      <c r="H1051" s="18"/>
    </row>
    <row r="1052" ht="15.75" customHeight="1">
      <c r="E1052" s="18"/>
      <c r="G1052" s="19"/>
      <c r="H1052" s="18"/>
    </row>
    <row r="1053" ht="15.75" customHeight="1">
      <c r="E1053" s="18"/>
      <c r="G1053" s="19"/>
      <c r="H1053" s="18"/>
    </row>
    <row r="1054" ht="15.75" customHeight="1">
      <c r="E1054" s="18"/>
      <c r="G1054" s="19"/>
      <c r="H1054" s="18"/>
    </row>
    <row r="1055" ht="15.75" customHeight="1">
      <c r="E1055" s="18"/>
      <c r="G1055" s="19"/>
      <c r="H1055" s="18"/>
    </row>
    <row r="1056" ht="15.75" customHeight="1">
      <c r="E1056" s="18"/>
      <c r="G1056" s="19"/>
      <c r="H1056" s="18"/>
    </row>
    <row r="1057" ht="15.75" customHeight="1">
      <c r="E1057" s="18"/>
      <c r="G1057" s="19"/>
      <c r="H1057" s="18"/>
    </row>
    <row r="1058" ht="15.75" customHeight="1">
      <c r="E1058" s="18"/>
      <c r="G1058" s="19"/>
      <c r="H1058" s="18"/>
    </row>
    <row r="1059" ht="15.75" customHeight="1">
      <c r="E1059" s="18"/>
      <c r="G1059" s="19"/>
      <c r="H1059" s="18"/>
    </row>
    <row r="1060" ht="15.75" customHeight="1">
      <c r="E1060" s="18"/>
      <c r="G1060" s="19"/>
      <c r="H1060" s="18"/>
    </row>
    <row r="1061" ht="15.75" customHeight="1">
      <c r="E1061" s="18"/>
      <c r="G1061" s="19"/>
      <c r="H1061" s="18"/>
    </row>
    <row r="1062" ht="15.75" customHeight="1">
      <c r="E1062" s="18"/>
      <c r="G1062" s="19"/>
      <c r="H1062" s="18"/>
    </row>
    <row r="1063" ht="15.75" customHeight="1">
      <c r="E1063" s="18"/>
      <c r="G1063" s="19"/>
      <c r="H1063" s="18"/>
    </row>
    <row r="1064" ht="15.75" customHeight="1">
      <c r="E1064" s="18"/>
      <c r="G1064" s="19"/>
      <c r="H1064" s="18"/>
    </row>
    <row r="1065" ht="15.75" customHeight="1">
      <c r="E1065" s="18"/>
      <c r="G1065" s="19"/>
      <c r="H1065" s="18"/>
    </row>
    <row r="1066" ht="15.75" customHeight="1">
      <c r="E1066" s="18"/>
      <c r="G1066" s="19"/>
      <c r="H1066" s="18"/>
    </row>
    <row r="1067" ht="15.75" customHeight="1">
      <c r="E1067" s="18"/>
      <c r="G1067" s="19"/>
      <c r="H1067" s="18"/>
    </row>
    <row r="1068" ht="15.75" customHeight="1">
      <c r="E1068" s="18"/>
      <c r="G1068" s="19"/>
      <c r="H1068" s="18"/>
    </row>
    <row r="1069" ht="15.75" customHeight="1">
      <c r="E1069" s="18"/>
      <c r="G1069" s="19"/>
      <c r="H1069" s="18"/>
    </row>
    <row r="1070" ht="15.75" customHeight="1">
      <c r="E1070" s="18"/>
      <c r="G1070" s="19"/>
      <c r="H1070" s="18"/>
    </row>
    <row r="1071" ht="15.75" customHeight="1">
      <c r="E1071" s="18"/>
      <c r="G1071" s="19"/>
      <c r="H1071" s="18"/>
    </row>
    <row r="1072" ht="15.75" customHeight="1">
      <c r="E1072" s="18"/>
      <c r="G1072" s="19"/>
      <c r="H1072" s="18"/>
    </row>
    <row r="1073" ht="15.75" customHeight="1">
      <c r="E1073" s="18"/>
      <c r="G1073" s="19"/>
      <c r="H1073" s="18"/>
    </row>
    <row r="1074" ht="15.75" customHeight="1">
      <c r="E1074" s="18"/>
      <c r="G1074" s="19"/>
      <c r="H1074" s="18"/>
    </row>
    <row r="1075" ht="15.75" customHeight="1">
      <c r="E1075" s="18"/>
      <c r="G1075" s="19"/>
      <c r="H1075" s="18"/>
    </row>
    <row r="1076" ht="15.75" customHeight="1">
      <c r="E1076" s="18"/>
      <c r="G1076" s="19"/>
      <c r="H1076" s="18"/>
    </row>
    <row r="1077" ht="15.75" customHeight="1">
      <c r="E1077" s="18"/>
      <c r="G1077" s="19"/>
      <c r="H1077" s="18"/>
    </row>
    <row r="1078" ht="15.75" customHeight="1">
      <c r="E1078" s="18"/>
      <c r="G1078" s="19"/>
      <c r="H1078" s="18"/>
    </row>
    <row r="1079" ht="15.75" customHeight="1">
      <c r="E1079" s="18"/>
      <c r="G1079" s="19"/>
      <c r="H1079" s="18"/>
    </row>
    <row r="1080" ht="15.75" customHeight="1">
      <c r="E1080" s="18"/>
      <c r="G1080" s="19"/>
      <c r="H1080" s="18"/>
    </row>
    <row r="1081" ht="15.75" customHeight="1">
      <c r="E1081" s="18"/>
      <c r="G1081" s="19"/>
      <c r="H1081" s="18"/>
    </row>
    <row r="1082" ht="15.75" customHeight="1">
      <c r="E1082" s="18"/>
      <c r="G1082" s="19"/>
      <c r="H1082" s="18"/>
    </row>
    <row r="1083" ht="15.75" customHeight="1">
      <c r="E1083" s="18"/>
      <c r="G1083" s="19"/>
      <c r="H1083" s="18"/>
    </row>
    <row r="1084" ht="15.75" customHeight="1">
      <c r="E1084" s="18"/>
      <c r="G1084" s="19"/>
      <c r="H1084" s="18"/>
    </row>
    <row r="1085" ht="15.75" customHeight="1">
      <c r="E1085" s="18"/>
      <c r="G1085" s="19"/>
      <c r="H1085" s="18"/>
    </row>
    <row r="1086" ht="15.75" customHeight="1">
      <c r="E1086" s="18"/>
      <c r="G1086" s="19"/>
      <c r="H1086" s="18"/>
    </row>
    <row r="1087" ht="15.75" customHeight="1">
      <c r="E1087" s="18"/>
      <c r="G1087" s="19"/>
      <c r="H1087" s="18"/>
    </row>
    <row r="1088" ht="15.75" customHeight="1">
      <c r="E1088" s="18"/>
      <c r="G1088" s="19"/>
      <c r="H1088" s="18"/>
    </row>
    <row r="1089" ht="15.75" customHeight="1">
      <c r="E1089" s="18"/>
      <c r="G1089" s="19"/>
      <c r="H1089" s="18"/>
    </row>
    <row r="1090" ht="15.75" customHeight="1">
      <c r="E1090" s="18"/>
      <c r="G1090" s="19"/>
      <c r="H1090" s="18"/>
    </row>
    <row r="1091" ht="15.75" customHeight="1">
      <c r="E1091" s="18"/>
      <c r="G1091" s="19"/>
      <c r="H1091" s="18"/>
    </row>
    <row r="1092" ht="15.75" customHeight="1">
      <c r="E1092" s="18"/>
      <c r="G1092" s="19"/>
      <c r="H1092" s="18"/>
    </row>
    <row r="1093" ht="15.75" customHeight="1">
      <c r="E1093" s="18"/>
      <c r="G1093" s="19"/>
      <c r="H1093" s="18"/>
    </row>
    <row r="1094" ht="15.75" customHeight="1">
      <c r="E1094" s="18"/>
      <c r="G1094" s="19"/>
      <c r="H1094" s="18"/>
    </row>
    <row r="1095" ht="15.75" customHeight="1">
      <c r="E1095" s="18"/>
      <c r="G1095" s="19"/>
      <c r="H1095" s="18"/>
    </row>
    <row r="1096" ht="15.75" customHeight="1">
      <c r="E1096" s="18"/>
      <c r="G1096" s="19"/>
      <c r="H1096" s="18"/>
    </row>
    <row r="1097" ht="15.75" customHeight="1">
      <c r="E1097" s="18"/>
      <c r="G1097" s="19"/>
      <c r="H1097" s="18"/>
    </row>
    <row r="1098" ht="15.75" customHeight="1">
      <c r="E1098" s="18"/>
      <c r="G1098" s="19"/>
      <c r="H1098" s="18"/>
    </row>
    <row r="1099" ht="15.75" customHeight="1">
      <c r="E1099" s="18"/>
      <c r="G1099" s="19"/>
      <c r="H1099" s="18"/>
    </row>
    <row r="1100" ht="15.75" customHeight="1">
      <c r="E1100" s="18"/>
      <c r="G1100" s="19"/>
      <c r="H1100" s="18"/>
    </row>
    <row r="1101" ht="15.75" customHeight="1">
      <c r="E1101" s="18"/>
      <c r="G1101" s="19"/>
      <c r="H1101" s="18"/>
    </row>
    <row r="1102" ht="15.75" customHeight="1">
      <c r="E1102" s="18"/>
      <c r="G1102" s="19"/>
      <c r="H1102" s="18"/>
    </row>
    <row r="1103" ht="15.75" customHeight="1">
      <c r="E1103" s="18"/>
      <c r="G1103" s="19"/>
      <c r="H1103" s="18"/>
    </row>
    <row r="1104" ht="15.75" customHeight="1">
      <c r="E1104" s="18"/>
      <c r="G1104" s="19"/>
      <c r="H1104" s="18"/>
    </row>
    <row r="1105" ht="15.75" customHeight="1">
      <c r="E1105" s="18"/>
      <c r="G1105" s="19"/>
      <c r="H1105" s="18"/>
    </row>
    <row r="1106" ht="15.75" customHeight="1">
      <c r="E1106" s="18"/>
      <c r="G1106" s="19"/>
      <c r="H1106" s="18"/>
    </row>
    <row r="1107" ht="15.75" customHeight="1">
      <c r="E1107" s="18"/>
      <c r="G1107" s="19"/>
      <c r="H1107" s="18"/>
    </row>
    <row r="1108" ht="15.75" customHeight="1">
      <c r="E1108" s="18"/>
      <c r="G1108" s="19"/>
      <c r="H1108" s="18"/>
    </row>
    <row r="1109" ht="15.75" customHeight="1">
      <c r="E1109" s="18"/>
      <c r="G1109" s="19"/>
      <c r="H1109" s="18"/>
    </row>
    <row r="1110" ht="15.75" customHeight="1">
      <c r="E1110" s="18"/>
      <c r="G1110" s="19"/>
      <c r="H1110" s="18"/>
    </row>
    <row r="1111" ht="15.75" customHeight="1">
      <c r="E1111" s="18"/>
      <c r="G1111" s="19"/>
      <c r="H1111" s="18"/>
    </row>
    <row r="1112" ht="15.75" customHeight="1">
      <c r="E1112" s="18"/>
      <c r="G1112" s="19"/>
      <c r="H1112" s="18"/>
    </row>
    <row r="1113" ht="15.75" customHeight="1">
      <c r="E1113" s="18"/>
      <c r="G1113" s="19"/>
      <c r="H1113" s="18"/>
    </row>
    <row r="1114" ht="15.75" customHeight="1">
      <c r="E1114" s="18"/>
      <c r="G1114" s="19"/>
      <c r="H1114" s="18"/>
    </row>
    <row r="1115" ht="15.75" customHeight="1">
      <c r="E1115" s="18"/>
      <c r="G1115" s="19"/>
      <c r="H1115" s="18"/>
    </row>
    <row r="1116" ht="15.75" customHeight="1">
      <c r="E1116" s="18"/>
      <c r="G1116" s="19"/>
      <c r="H1116" s="18"/>
    </row>
    <row r="1117" ht="15.75" customHeight="1">
      <c r="E1117" s="18"/>
      <c r="G1117" s="19"/>
      <c r="H1117" s="18"/>
    </row>
    <row r="1118" ht="15.75" customHeight="1">
      <c r="E1118" s="18"/>
      <c r="G1118" s="19"/>
      <c r="H1118" s="18"/>
    </row>
    <row r="1119" ht="15.75" customHeight="1">
      <c r="E1119" s="18"/>
      <c r="G1119" s="19"/>
      <c r="H1119" s="18"/>
    </row>
    <row r="1120" ht="15.75" customHeight="1">
      <c r="E1120" s="18"/>
      <c r="G1120" s="19"/>
      <c r="H1120" s="18"/>
    </row>
    <row r="1121" ht="15.75" customHeight="1">
      <c r="E1121" s="18"/>
      <c r="G1121" s="19"/>
      <c r="H1121" s="18"/>
    </row>
    <row r="1122" ht="15.75" customHeight="1">
      <c r="E1122" s="18"/>
      <c r="G1122" s="19"/>
      <c r="H1122" s="18"/>
    </row>
    <row r="1123" ht="15.75" customHeight="1">
      <c r="E1123" s="18"/>
      <c r="G1123" s="19"/>
      <c r="H1123" s="18"/>
    </row>
    <row r="1124" ht="15.75" customHeight="1">
      <c r="E1124" s="18"/>
      <c r="G1124" s="19"/>
      <c r="H1124" s="18"/>
    </row>
    <row r="1125" ht="15.75" customHeight="1">
      <c r="E1125" s="18"/>
      <c r="G1125" s="19"/>
      <c r="H1125" s="18"/>
    </row>
    <row r="1126" ht="15.75" customHeight="1">
      <c r="E1126" s="18"/>
      <c r="G1126" s="19"/>
      <c r="H1126" s="18"/>
    </row>
    <row r="1127" ht="15.75" customHeight="1">
      <c r="E1127" s="18"/>
      <c r="G1127" s="19"/>
      <c r="H1127" s="18"/>
    </row>
    <row r="1128" ht="15.75" customHeight="1">
      <c r="E1128" s="18"/>
      <c r="G1128" s="19"/>
      <c r="H1128" s="18"/>
    </row>
    <row r="1129" ht="15.75" customHeight="1">
      <c r="E1129" s="18"/>
      <c r="G1129" s="19"/>
      <c r="H1129" s="18"/>
    </row>
    <row r="1130" ht="15.75" customHeight="1">
      <c r="E1130" s="18"/>
      <c r="G1130" s="19"/>
      <c r="H1130" s="18"/>
    </row>
    <row r="1131" ht="15.75" customHeight="1">
      <c r="E1131" s="18"/>
      <c r="G1131" s="19"/>
      <c r="H1131" s="18"/>
    </row>
    <row r="1132" ht="15.75" customHeight="1">
      <c r="E1132" s="18"/>
      <c r="G1132" s="19"/>
      <c r="H1132" s="18"/>
    </row>
    <row r="1133" ht="15.75" customHeight="1">
      <c r="E1133" s="18"/>
      <c r="G1133" s="19"/>
      <c r="H1133" s="18"/>
    </row>
    <row r="1134" ht="15.75" customHeight="1">
      <c r="E1134" s="18"/>
      <c r="G1134" s="19"/>
      <c r="H1134" s="18"/>
    </row>
    <row r="1135" ht="15.75" customHeight="1">
      <c r="E1135" s="18"/>
      <c r="G1135" s="19"/>
      <c r="H1135" s="18"/>
    </row>
    <row r="1136" ht="15.75" customHeight="1">
      <c r="E1136" s="18"/>
      <c r="G1136" s="19"/>
      <c r="H1136" s="18"/>
    </row>
    <row r="1137" ht="15.75" customHeight="1">
      <c r="E1137" s="18"/>
      <c r="G1137" s="19"/>
      <c r="H1137" s="18"/>
    </row>
    <row r="1138" ht="15.75" customHeight="1">
      <c r="E1138" s="18"/>
      <c r="G1138" s="19"/>
      <c r="H1138" s="18"/>
    </row>
    <row r="1139" ht="15.75" customHeight="1">
      <c r="E1139" s="18"/>
      <c r="G1139" s="19"/>
      <c r="H1139" s="18"/>
    </row>
    <row r="1140" ht="15.75" customHeight="1">
      <c r="E1140" s="18"/>
      <c r="G1140" s="19"/>
      <c r="H1140" s="18"/>
    </row>
    <row r="1141" ht="15.75" customHeight="1">
      <c r="E1141" s="18"/>
      <c r="G1141" s="19"/>
      <c r="H1141" s="18"/>
    </row>
    <row r="1142" ht="15.75" customHeight="1">
      <c r="E1142" s="18"/>
      <c r="G1142" s="19"/>
      <c r="H1142" s="18"/>
    </row>
    <row r="1143" ht="15.75" customHeight="1">
      <c r="E1143" s="18"/>
      <c r="G1143" s="19"/>
      <c r="H1143" s="18"/>
    </row>
    <row r="1144" ht="15.75" customHeight="1">
      <c r="E1144" s="18"/>
      <c r="G1144" s="19"/>
      <c r="H1144" s="18"/>
    </row>
    <row r="1145" ht="15.75" customHeight="1">
      <c r="E1145" s="18"/>
      <c r="G1145" s="19"/>
      <c r="H1145" s="18"/>
    </row>
    <row r="1146" ht="15.75" customHeight="1">
      <c r="E1146" s="18"/>
      <c r="G1146" s="19"/>
      <c r="H1146" s="18"/>
    </row>
    <row r="1147" ht="15.75" customHeight="1">
      <c r="E1147" s="18"/>
      <c r="G1147" s="19"/>
      <c r="H1147" s="18"/>
    </row>
    <row r="1148" ht="15.75" customHeight="1">
      <c r="E1148" s="18"/>
      <c r="G1148" s="19"/>
      <c r="H1148" s="18"/>
    </row>
    <row r="1149" ht="15.75" customHeight="1">
      <c r="E1149" s="18"/>
      <c r="G1149" s="19"/>
      <c r="H1149" s="18"/>
    </row>
    <row r="1150" ht="15.75" customHeight="1">
      <c r="E1150" s="18"/>
      <c r="G1150" s="19"/>
      <c r="H1150" s="18"/>
    </row>
    <row r="1151" ht="15.75" customHeight="1">
      <c r="E1151" s="18"/>
      <c r="G1151" s="19"/>
      <c r="H1151" s="18"/>
    </row>
    <row r="1152" ht="15.75" customHeight="1">
      <c r="E1152" s="18"/>
      <c r="G1152" s="19"/>
      <c r="H1152" s="18"/>
    </row>
    <row r="1153" ht="15.75" customHeight="1">
      <c r="E1153" s="18"/>
      <c r="G1153" s="19"/>
      <c r="H1153" s="18"/>
    </row>
    <row r="1154" ht="15.75" customHeight="1">
      <c r="E1154" s="18"/>
      <c r="G1154" s="19"/>
      <c r="H1154" s="18"/>
    </row>
    <row r="1155" ht="15.75" customHeight="1">
      <c r="E1155" s="18"/>
      <c r="G1155" s="19"/>
      <c r="H1155" s="18"/>
    </row>
    <row r="1156" ht="15.75" customHeight="1">
      <c r="E1156" s="18"/>
      <c r="G1156" s="19"/>
      <c r="H1156" s="18"/>
    </row>
    <row r="1157" ht="15.75" customHeight="1">
      <c r="E1157" s="18"/>
      <c r="G1157" s="19"/>
      <c r="H1157" s="18"/>
    </row>
    <row r="1158" ht="15.75" customHeight="1">
      <c r="E1158" s="18"/>
      <c r="G1158" s="19"/>
      <c r="H1158" s="18"/>
    </row>
    <row r="1159" ht="15.75" customHeight="1">
      <c r="E1159" s="18"/>
      <c r="G1159" s="19"/>
      <c r="H1159" s="18"/>
    </row>
    <row r="1160" ht="15.75" customHeight="1">
      <c r="E1160" s="18"/>
      <c r="G1160" s="19"/>
      <c r="H1160" s="18"/>
    </row>
    <row r="1161" ht="15.75" customHeight="1">
      <c r="E1161" s="18"/>
      <c r="G1161" s="19"/>
      <c r="H1161" s="18"/>
    </row>
    <row r="1162" ht="15.75" customHeight="1">
      <c r="E1162" s="18"/>
      <c r="G1162" s="19"/>
      <c r="H1162" s="18"/>
    </row>
    <row r="1163" ht="15.75" customHeight="1">
      <c r="E1163" s="18"/>
      <c r="G1163" s="19"/>
      <c r="H1163" s="18"/>
    </row>
    <row r="1164" ht="15.75" customHeight="1">
      <c r="E1164" s="18"/>
      <c r="G1164" s="19"/>
      <c r="H1164" s="18"/>
    </row>
    <row r="1165" ht="15.75" customHeight="1">
      <c r="E1165" s="18"/>
      <c r="G1165" s="19"/>
      <c r="H1165" s="18"/>
    </row>
    <row r="1166" ht="15.75" customHeight="1">
      <c r="E1166" s="18"/>
      <c r="G1166" s="19"/>
      <c r="H1166" s="18"/>
    </row>
    <row r="1167" ht="15.75" customHeight="1">
      <c r="E1167" s="18"/>
      <c r="G1167" s="19"/>
      <c r="H1167" s="18"/>
    </row>
    <row r="1168" ht="15.75" customHeight="1">
      <c r="E1168" s="18"/>
      <c r="G1168" s="19"/>
      <c r="H1168" s="18"/>
    </row>
    <row r="1169" ht="15.75" customHeight="1">
      <c r="E1169" s="18"/>
      <c r="G1169" s="19"/>
      <c r="H1169" s="18"/>
    </row>
    <row r="1170" ht="15.75" customHeight="1">
      <c r="E1170" s="18"/>
      <c r="G1170" s="19"/>
      <c r="H1170" s="18"/>
    </row>
    <row r="1171" ht="15.75" customHeight="1">
      <c r="E1171" s="18"/>
      <c r="G1171" s="19"/>
      <c r="H1171" s="18"/>
    </row>
    <row r="1172" ht="15.75" customHeight="1">
      <c r="E1172" s="18"/>
      <c r="G1172" s="19"/>
      <c r="H1172" s="18"/>
    </row>
    <row r="1173" ht="15.75" customHeight="1">
      <c r="E1173" s="18"/>
      <c r="G1173" s="19"/>
      <c r="H1173" s="18"/>
    </row>
    <row r="1174" ht="15.75" customHeight="1">
      <c r="E1174" s="18"/>
      <c r="G1174" s="19"/>
      <c r="H1174" s="18"/>
    </row>
    <row r="1175" ht="15.75" customHeight="1">
      <c r="E1175" s="18"/>
      <c r="G1175" s="19"/>
      <c r="H1175" s="18"/>
    </row>
    <row r="1176" ht="15.75" customHeight="1">
      <c r="E1176" s="18"/>
      <c r="G1176" s="19"/>
      <c r="H1176" s="18"/>
    </row>
    <row r="1177" ht="15.75" customHeight="1">
      <c r="E1177" s="18"/>
      <c r="G1177" s="19"/>
      <c r="H1177" s="18"/>
    </row>
    <row r="1178" ht="15.75" customHeight="1">
      <c r="E1178" s="18"/>
      <c r="G1178" s="19"/>
      <c r="H1178" s="18"/>
    </row>
    <row r="1179" ht="15.75" customHeight="1">
      <c r="E1179" s="18"/>
      <c r="G1179" s="19"/>
      <c r="H1179" s="18"/>
    </row>
    <row r="1180" ht="15.75" customHeight="1">
      <c r="E1180" s="18"/>
      <c r="G1180" s="19"/>
      <c r="H1180" s="18"/>
    </row>
    <row r="1181" ht="15.75" customHeight="1">
      <c r="E1181" s="18"/>
      <c r="G1181" s="19"/>
      <c r="H1181" s="18"/>
    </row>
    <row r="1182" ht="15.75" customHeight="1">
      <c r="E1182" s="18"/>
      <c r="G1182" s="19"/>
      <c r="H1182" s="18"/>
    </row>
    <row r="1183" ht="15.75" customHeight="1">
      <c r="E1183" s="18"/>
      <c r="G1183" s="19"/>
      <c r="H1183" s="18"/>
    </row>
    <row r="1184" ht="15.75" customHeight="1">
      <c r="E1184" s="18"/>
      <c r="G1184" s="19"/>
      <c r="H1184" s="18"/>
    </row>
    <row r="1185" ht="15.75" customHeight="1">
      <c r="E1185" s="18"/>
      <c r="G1185" s="19"/>
      <c r="H1185" s="18"/>
    </row>
    <row r="1186" ht="15.75" customHeight="1">
      <c r="E1186" s="18"/>
      <c r="G1186" s="19"/>
      <c r="H1186" s="18"/>
    </row>
    <row r="1187" ht="15.75" customHeight="1">
      <c r="E1187" s="18"/>
      <c r="G1187" s="19"/>
      <c r="H1187" s="18"/>
    </row>
    <row r="1188" ht="15.75" customHeight="1">
      <c r="E1188" s="18"/>
      <c r="G1188" s="19"/>
      <c r="H1188" s="18"/>
    </row>
    <row r="1189" ht="15.75" customHeight="1">
      <c r="E1189" s="18"/>
      <c r="G1189" s="19"/>
      <c r="H1189" s="18"/>
    </row>
    <row r="1190" ht="15.75" customHeight="1">
      <c r="E1190" s="18"/>
      <c r="G1190" s="19"/>
      <c r="H1190" s="18"/>
    </row>
    <row r="1191" ht="15.75" customHeight="1">
      <c r="E1191" s="18"/>
      <c r="G1191" s="19"/>
      <c r="H1191" s="18"/>
    </row>
    <row r="1192" ht="15.75" customHeight="1">
      <c r="E1192" s="18"/>
      <c r="G1192" s="19"/>
      <c r="H1192" s="18"/>
    </row>
    <row r="1193" ht="15.75" customHeight="1">
      <c r="E1193" s="18"/>
      <c r="G1193" s="19"/>
      <c r="H1193" s="18"/>
    </row>
    <row r="1194" ht="15.75" customHeight="1">
      <c r="E1194" s="18"/>
      <c r="G1194" s="19"/>
      <c r="H1194" s="18"/>
    </row>
    <row r="1195" ht="15.75" customHeight="1">
      <c r="E1195" s="18"/>
      <c r="G1195" s="19"/>
      <c r="H1195" s="18"/>
    </row>
    <row r="1196" ht="15.75" customHeight="1">
      <c r="E1196" s="18"/>
      <c r="G1196" s="19"/>
      <c r="H1196" s="18"/>
    </row>
    <row r="1197" ht="15.75" customHeight="1">
      <c r="E1197" s="18"/>
      <c r="G1197" s="19"/>
      <c r="H1197" s="18"/>
    </row>
    <row r="1198" ht="15.75" customHeight="1">
      <c r="E1198" s="18"/>
      <c r="G1198" s="19"/>
      <c r="H1198" s="18"/>
    </row>
    <row r="1199" ht="15.75" customHeight="1">
      <c r="E1199" s="18"/>
      <c r="G1199" s="19"/>
      <c r="H1199" s="18"/>
    </row>
    <row r="1200" ht="15.75" customHeight="1">
      <c r="E1200" s="18"/>
      <c r="G1200" s="19"/>
      <c r="H1200" s="18"/>
    </row>
    <row r="1201" ht="15.75" customHeight="1">
      <c r="E1201" s="18"/>
      <c r="G1201" s="19"/>
      <c r="H1201" s="18"/>
    </row>
    <row r="1202" ht="15.75" customHeight="1">
      <c r="E1202" s="18"/>
      <c r="G1202" s="19"/>
      <c r="H1202" s="18"/>
    </row>
    <row r="1203" ht="15.75" customHeight="1">
      <c r="E1203" s="18"/>
      <c r="G1203" s="19"/>
      <c r="H1203" s="18"/>
    </row>
    <row r="1204" ht="15.75" customHeight="1">
      <c r="E1204" s="18"/>
      <c r="G1204" s="19"/>
      <c r="H1204" s="18"/>
    </row>
    <row r="1205" ht="15.75" customHeight="1">
      <c r="E1205" s="18"/>
      <c r="G1205" s="19"/>
      <c r="H1205" s="18"/>
    </row>
    <row r="1206" ht="15.75" customHeight="1">
      <c r="E1206" s="18"/>
      <c r="G1206" s="19"/>
      <c r="H1206" s="18"/>
    </row>
    <row r="1207" ht="15.75" customHeight="1">
      <c r="E1207" s="18"/>
      <c r="G1207" s="19"/>
      <c r="H1207" s="18"/>
    </row>
    <row r="1208" ht="15.75" customHeight="1">
      <c r="E1208" s="18"/>
      <c r="G1208" s="19"/>
      <c r="H1208" s="18"/>
    </row>
    <row r="1209" ht="15.75" customHeight="1">
      <c r="E1209" s="18"/>
      <c r="G1209" s="19"/>
      <c r="H1209" s="18"/>
    </row>
    <row r="1210" ht="15.75" customHeight="1">
      <c r="E1210" s="18"/>
      <c r="G1210" s="19"/>
      <c r="H1210" s="18"/>
    </row>
    <row r="1211" ht="15.75" customHeight="1">
      <c r="E1211" s="18"/>
      <c r="G1211" s="19"/>
      <c r="H1211" s="18"/>
    </row>
    <row r="1212" ht="15.75" customHeight="1">
      <c r="E1212" s="18"/>
      <c r="G1212" s="19"/>
      <c r="H1212" s="18"/>
    </row>
    <row r="1213" ht="15.75" customHeight="1">
      <c r="E1213" s="18"/>
      <c r="G1213" s="19"/>
      <c r="H1213" s="18"/>
    </row>
    <row r="1214" ht="15.75" customHeight="1">
      <c r="E1214" s="18"/>
      <c r="G1214" s="19"/>
      <c r="H1214" s="18"/>
    </row>
    <row r="1215" ht="15.75" customHeight="1">
      <c r="E1215" s="18"/>
      <c r="G1215" s="19"/>
      <c r="H1215" s="18"/>
    </row>
    <row r="1216" ht="15.75" customHeight="1">
      <c r="E1216" s="18"/>
      <c r="G1216" s="19"/>
      <c r="H1216" s="18"/>
    </row>
    <row r="1217" ht="15.75" customHeight="1">
      <c r="E1217" s="18"/>
      <c r="G1217" s="19"/>
      <c r="H1217" s="18"/>
    </row>
    <row r="1218" ht="15.75" customHeight="1">
      <c r="E1218" s="18"/>
      <c r="G1218" s="19"/>
      <c r="H1218" s="18"/>
    </row>
    <row r="1219" ht="15.75" customHeight="1">
      <c r="E1219" s="18"/>
      <c r="G1219" s="19"/>
      <c r="H1219" s="18"/>
    </row>
    <row r="1220" ht="15.75" customHeight="1">
      <c r="E1220" s="18"/>
      <c r="G1220" s="19"/>
      <c r="H1220" s="18"/>
    </row>
    <row r="1221" ht="15.75" customHeight="1">
      <c r="E1221" s="18"/>
      <c r="G1221" s="19"/>
      <c r="H1221" s="18"/>
    </row>
    <row r="1222" ht="15.75" customHeight="1">
      <c r="E1222" s="18"/>
      <c r="G1222" s="19"/>
      <c r="H1222" s="18"/>
    </row>
    <row r="1223" ht="15.75" customHeight="1">
      <c r="E1223" s="18"/>
      <c r="G1223" s="19"/>
      <c r="H1223" s="18"/>
    </row>
    <row r="1224" ht="15.75" customHeight="1">
      <c r="E1224" s="18"/>
      <c r="G1224" s="19"/>
      <c r="H1224" s="18"/>
    </row>
    <row r="1225" ht="15.75" customHeight="1">
      <c r="E1225" s="18"/>
      <c r="G1225" s="19"/>
      <c r="H1225" s="18"/>
    </row>
    <row r="1226" ht="15.75" customHeight="1">
      <c r="E1226" s="18"/>
      <c r="G1226" s="19"/>
      <c r="H1226" s="18"/>
    </row>
    <row r="1227" ht="15.75" customHeight="1">
      <c r="E1227" s="18"/>
      <c r="G1227" s="19"/>
      <c r="H1227" s="18"/>
    </row>
    <row r="1228" ht="15.75" customHeight="1">
      <c r="E1228" s="18"/>
      <c r="G1228" s="19"/>
      <c r="H1228" s="18"/>
    </row>
    <row r="1229" ht="15.75" customHeight="1">
      <c r="E1229" s="18"/>
      <c r="G1229" s="19"/>
      <c r="H1229" s="18"/>
    </row>
    <row r="1230" ht="15.75" customHeight="1">
      <c r="E1230" s="18"/>
      <c r="G1230" s="19"/>
      <c r="H1230" s="18"/>
    </row>
    <row r="1231" ht="15.75" customHeight="1">
      <c r="E1231" s="18"/>
      <c r="G1231" s="19"/>
      <c r="H1231" s="18"/>
    </row>
    <row r="1232" ht="15.75" customHeight="1">
      <c r="E1232" s="18"/>
      <c r="G1232" s="19"/>
      <c r="H1232" s="18"/>
    </row>
    <row r="1233" ht="15.75" customHeight="1">
      <c r="E1233" s="18"/>
      <c r="G1233" s="19"/>
      <c r="H1233" s="18"/>
    </row>
    <row r="1234" ht="15.75" customHeight="1">
      <c r="E1234" s="18"/>
      <c r="G1234" s="19"/>
      <c r="H1234" s="18"/>
    </row>
    <row r="1235" ht="15.75" customHeight="1">
      <c r="E1235" s="18"/>
      <c r="G1235" s="19"/>
      <c r="H1235" s="18"/>
    </row>
    <row r="1236" ht="15.75" customHeight="1">
      <c r="E1236" s="18"/>
      <c r="G1236" s="19"/>
      <c r="H1236" s="18"/>
    </row>
    <row r="1237" ht="15.75" customHeight="1">
      <c r="E1237" s="18"/>
      <c r="G1237" s="19"/>
      <c r="H1237" s="18"/>
    </row>
    <row r="1238" ht="15.75" customHeight="1">
      <c r="E1238" s="18"/>
      <c r="G1238" s="19"/>
      <c r="H1238" s="18"/>
    </row>
    <row r="1239" ht="15.75" customHeight="1">
      <c r="E1239" s="18"/>
      <c r="G1239" s="19"/>
      <c r="H1239" s="18"/>
    </row>
    <row r="1240" ht="15.75" customHeight="1">
      <c r="E1240" s="18"/>
      <c r="G1240" s="19"/>
      <c r="H1240" s="18"/>
    </row>
    <row r="1241" ht="15.75" customHeight="1">
      <c r="E1241" s="18"/>
      <c r="G1241" s="19"/>
      <c r="H1241" s="18"/>
    </row>
    <row r="1242" ht="15.75" customHeight="1">
      <c r="E1242" s="18"/>
      <c r="G1242" s="19"/>
      <c r="H1242" s="18"/>
    </row>
    <row r="1243" ht="15.75" customHeight="1">
      <c r="E1243" s="18"/>
      <c r="G1243" s="19"/>
      <c r="H1243" s="18"/>
    </row>
    <row r="1244" ht="15.75" customHeight="1">
      <c r="E1244" s="18"/>
      <c r="G1244" s="19"/>
      <c r="H1244" s="18"/>
    </row>
    <row r="1245" ht="15.75" customHeight="1">
      <c r="E1245" s="18"/>
      <c r="G1245" s="19"/>
      <c r="H1245" s="18"/>
    </row>
    <row r="1246" ht="15.75" customHeight="1">
      <c r="E1246" s="18"/>
      <c r="G1246" s="19"/>
      <c r="H1246" s="18"/>
    </row>
    <row r="1247" ht="15.75" customHeight="1">
      <c r="E1247" s="18"/>
      <c r="G1247" s="19"/>
      <c r="H1247" s="18"/>
    </row>
    <row r="1248" ht="15.75" customHeight="1">
      <c r="E1248" s="18"/>
      <c r="G1248" s="19"/>
      <c r="H1248" s="18"/>
    </row>
    <row r="1249" ht="15.75" customHeight="1">
      <c r="E1249" s="18"/>
      <c r="G1249" s="19"/>
      <c r="H1249" s="18"/>
    </row>
    <row r="1250" ht="15.75" customHeight="1">
      <c r="E1250" s="18"/>
      <c r="G1250" s="19"/>
      <c r="H1250" s="18"/>
    </row>
    <row r="1251" ht="15.75" customHeight="1">
      <c r="E1251" s="18"/>
      <c r="G1251" s="19"/>
      <c r="H1251" s="18"/>
    </row>
    <row r="1252" ht="15.75" customHeight="1">
      <c r="E1252" s="18"/>
      <c r="G1252" s="19"/>
      <c r="H1252" s="18"/>
    </row>
    <row r="1253" ht="15.75" customHeight="1">
      <c r="E1253" s="18"/>
      <c r="G1253" s="19"/>
      <c r="H1253" s="18"/>
    </row>
    <row r="1254" ht="15.75" customHeight="1">
      <c r="E1254" s="18"/>
      <c r="G1254" s="19"/>
      <c r="H1254" s="18"/>
    </row>
    <row r="1255" ht="15.75" customHeight="1">
      <c r="E1255" s="18"/>
      <c r="G1255" s="19"/>
      <c r="H1255" s="18"/>
    </row>
    <row r="1256" ht="15.75" customHeight="1">
      <c r="E1256" s="18"/>
      <c r="G1256" s="19"/>
      <c r="H1256" s="18"/>
    </row>
    <row r="1257" ht="15.75" customHeight="1">
      <c r="E1257" s="18"/>
      <c r="G1257" s="19"/>
      <c r="H1257" s="18"/>
    </row>
    <row r="1258" ht="15.75" customHeight="1">
      <c r="E1258" s="18"/>
      <c r="G1258" s="19"/>
      <c r="H1258" s="18"/>
    </row>
    <row r="1259" ht="15.75" customHeight="1">
      <c r="E1259" s="18"/>
      <c r="G1259" s="19"/>
      <c r="H1259" s="18"/>
    </row>
    <row r="1260" ht="15.75" customHeight="1">
      <c r="E1260" s="18"/>
      <c r="G1260" s="19"/>
      <c r="H1260" s="18"/>
    </row>
    <row r="1261" ht="15.75" customHeight="1">
      <c r="E1261" s="18"/>
      <c r="G1261" s="19"/>
      <c r="H1261" s="18"/>
    </row>
    <row r="1262" ht="15.75" customHeight="1">
      <c r="E1262" s="18"/>
      <c r="G1262" s="19"/>
      <c r="H1262" s="18"/>
    </row>
    <row r="1263" ht="15.75" customHeight="1">
      <c r="E1263" s="18"/>
      <c r="G1263" s="19"/>
      <c r="H1263" s="18"/>
    </row>
    <row r="1264" ht="15.75" customHeight="1">
      <c r="E1264" s="18"/>
      <c r="G1264" s="19"/>
      <c r="H1264" s="18"/>
    </row>
    <row r="1265" ht="15.75" customHeight="1">
      <c r="E1265" s="18"/>
      <c r="G1265" s="19"/>
      <c r="H1265" s="18"/>
    </row>
    <row r="1266" ht="15.75" customHeight="1">
      <c r="E1266" s="18"/>
      <c r="G1266" s="19"/>
      <c r="H1266" s="18"/>
    </row>
    <row r="1267" ht="15.75" customHeight="1">
      <c r="E1267" s="18"/>
      <c r="G1267" s="19"/>
      <c r="H1267" s="18"/>
    </row>
    <row r="1268" ht="15.75" customHeight="1">
      <c r="E1268" s="18"/>
      <c r="G1268" s="19"/>
      <c r="H1268" s="18"/>
    </row>
    <row r="1269" ht="15.75" customHeight="1">
      <c r="E1269" s="18"/>
      <c r="G1269" s="19"/>
      <c r="H1269" s="18"/>
    </row>
    <row r="1270" ht="15.75" customHeight="1">
      <c r="E1270" s="18"/>
      <c r="G1270" s="19"/>
      <c r="H1270" s="18"/>
    </row>
    <row r="1271" ht="15.75" customHeight="1">
      <c r="E1271" s="18"/>
      <c r="G1271" s="19"/>
      <c r="H1271" s="18"/>
    </row>
    <row r="1272" ht="15.75" customHeight="1">
      <c r="E1272" s="18"/>
      <c r="G1272" s="19"/>
      <c r="H1272" s="18"/>
    </row>
    <row r="1273" ht="15.75" customHeight="1">
      <c r="E1273" s="18"/>
      <c r="G1273" s="19"/>
      <c r="H1273" s="18"/>
    </row>
    <row r="1274" ht="15.75" customHeight="1">
      <c r="E1274" s="18"/>
      <c r="G1274" s="19"/>
      <c r="H1274" s="18"/>
    </row>
    <row r="1275" ht="15.75" customHeight="1">
      <c r="E1275" s="18"/>
      <c r="G1275" s="19"/>
      <c r="H1275" s="18"/>
    </row>
    <row r="1276" ht="15.75" customHeight="1">
      <c r="E1276" s="18"/>
      <c r="G1276" s="19"/>
      <c r="H1276" s="18"/>
    </row>
    <row r="1277" ht="15.75" customHeight="1">
      <c r="E1277" s="18"/>
      <c r="G1277" s="19"/>
      <c r="H1277" s="18"/>
    </row>
    <row r="1278" ht="15.75" customHeight="1">
      <c r="E1278" s="18"/>
      <c r="G1278" s="19"/>
      <c r="H1278" s="18"/>
    </row>
    <row r="1279" ht="15.75" customHeight="1">
      <c r="E1279" s="18"/>
      <c r="G1279" s="19"/>
      <c r="H1279" s="18"/>
    </row>
    <row r="1280" ht="15.75" customHeight="1">
      <c r="E1280" s="18"/>
      <c r="G1280" s="19"/>
      <c r="H1280" s="18"/>
    </row>
    <row r="1281" ht="15.75" customHeight="1">
      <c r="E1281" s="18"/>
      <c r="G1281" s="19"/>
      <c r="H1281" s="18"/>
    </row>
    <row r="1282" ht="15.75" customHeight="1">
      <c r="E1282" s="18"/>
      <c r="G1282" s="19"/>
      <c r="H1282" s="18"/>
    </row>
    <row r="1283" ht="15.75" customHeight="1">
      <c r="E1283" s="18"/>
      <c r="G1283" s="19"/>
      <c r="H1283" s="18"/>
    </row>
    <row r="1284" ht="15.75" customHeight="1">
      <c r="E1284" s="18"/>
      <c r="G1284" s="19"/>
      <c r="H1284" s="18"/>
    </row>
    <row r="1285" ht="15.75" customHeight="1">
      <c r="E1285" s="18"/>
      <c r="G1285" s="19"/>
      <c r="H1285" s="18"/>
    </row>
    <row r="1286" ht="15.75" customHeight="1">
      <c r="E1286" s="18"/>
      <c r="G1286" s="19"/>
      <c r="H1286" s="18"/>
    </row>
    <row r="1287" ht="15.75" customHeight="1">
      <c r="E1287" s="18"/>
      <c r="G1287" s="19"/>
      <c r="H1287" s="18"/>
    </row>
    <row r="1288" ht="15.75" customHeight="1">
      <c r="E1288" s="18"/>
      <c r="G1288" s="19"/>
      <c r="H1288" s="18"/>
    </row>
    <row r="1289" ht="15.75" customHeight="1">
      <c r="E1289" s="18"/>
      <c r="G1289" s="19"/>
      <c r="H1289" s="18"/>
    </row>
    <row r="1290" ht="15.75" customHeight="1">
      <c r="E1290" s="18"/>
      <c r="G1290" s="19"/>
      <c r="H1290" s="18"/>
    </row>
    <row r="1291" ht="15.75" customHeight="1">
      <c r="E1291" s="18"/>
      <c r="G1291" s="19"/>
      <c r="H1291" s="18"/>
    </row>
    <row r="1292" ht="15.75" customHeight="1">
      <c r="E1292" s="18"/>
      <c r="G1292" s="19"/>
      <c r="H1292" s="18"/>
    </row>
    <row r="1293" ht="15.75" customHeight="1">
      <c r="E1293" s="18"/>
      <c r="G1293" s="19"/>
      <c r="H1293" s="18"/>
    </row>
    <row r="1294" ht="15.75" customHeight="1">
      <c r="E1294" s="18"/>
      <c r="G1294" s="19"/>
      <c r="H1294" s="18"/>
    </row>
    <row r="1295" ht="15.75" customHeight="1">
      <c r="E1295" s="18"/>
      <c r="G1295" s="19"/>
      <c r="H1295" s="18"/>
    </row>
    <row r="1296" ht="15.75" customHeight="1">
      <c r="E1296" s="18"/>
      <c r="G1296" s="19"/>
      <c r="H1296" s="18"/>
    </row>
    <row r="1297" ht="15.75" customHeight="1">
      <c r="E1297" s="18"/>
      <c r="G1297" s="19"/>
      <c r="H1297" s="18"/>
    </row>
    <row r="1298" ht="15.75" customHeight="1">
      <c r="E1298" s="18"/>
      <c r="G1298" s="19"/>
      <c r="H1298" s="18"/>
    </row>
    <row r="1299" ht="15.75" customHeight="1">
      <c r="E1299" s="18"/>
      <c r="G1299" s="19"/>
      <c r="H1299" s="18"/>
    </row>
    <row r="1300" ht="15.75" customHeight="1">
      <c r="E1300" s="18"/>
      <c r="G1300" s="19"/>
      <c r="H1300" s="18"/>
    </row>
    <row r="1301" ht="15.75" customHeight="1">
      <c r="E1301" s="18"/>
      <c r="G1301" s="19"/>
      <c r="H1301" s="18"/>
    </row>
    <row r="1302" ht="15.75" customHeight="1">
      <c r="E1302" s="18"/>
      <c r="G1302" s="19"/>
      <c r="H1302" s="18"/>
    </row>
    <row r="1303" ht="15.75" customHeight="1">
      <c r="E1303" s="18"/>
      <c r="G1303" s="19"/>
      <c r="H1303" s="18"/>
    </row>
    <row r="1304" ht="15.75" customHeight="1">
      <c r="E1304" s="18"/>
      <c r="G1304" s="19"/>
      <c r="H1304" s="18"/>
    </row>
    <row r="1305" ht="15.75" customHeight="1">
      <c r="E1305" s="18"/>
      <c r="G1305" s="19"/>
      <c r="H1305" s="18"/>
    </row>
    <row r="1306" ht="15.75" customHeight="1">
      <c r="E1306" s="18"/>
      <c r="G1306" s="19"/>
      <c r="H1306" s="18"/>
    </row>
    <row r="1307" ht="15.75" customHeight="1">
      <c r="E1307" s="18"/>
      <c r="G1307" s="19"/>
      <c r="H1307" s="18"/>
    </row>
    <row r="1308" ht="15.75" customHeight="1">
      <c r="E1308" s="18"/>
      <c r="G1308" s="19"/>
      <c r="H1308" s="18"/>
    </row>
    <row r="1309" ht="15.75" customHeight="1">
      <c r="E1309" s="18"/>
      <c r="G1309" s="19"/>
      <c r="H1309" s="18"/>
    </row>
    <row r="1310" ht="15.75" customHeight="1">
      <c r="E1310" s="18"/>
      <c r="G1310" s="19"/>
      <c r="H1310" s="18"/>
    </row>
    <row r="1311" ht="15.75" customHeight="1">
      <c r="E1311" s="18"/>
      <c r="G1311" s="19"/>
      <c r="H1311" s="18"/>
    </row>
    <row r="1312" ht="15.75" customHeight="1">
      <c r="E1312" s="18"/>
      <c r="G1312" s="19"/>
      <c r="H1312" s="18"/>
    </row>
    <row r="1313" ht="15.75" customHeight="1">
      <c r="E1313" s="18"/>
      <c r="G1313" s="19"/>
      <c r="H1313" s="18"/>
    </row>
    <row r="1314" ht="15.75" customHeight="1">
      <c r="E1314" s="18"/>
      <c r="G1314" s="19"/>
      <c r="H1314" s="18"/>
    </row>
    <row r="1315" ht="15.75" customHeight="1">
      <c r="E1315" s="18"/>
      <c r="G1315" s="19"/>
      <c r="H1315" s="18"/>
    </row>
    <row r="1316" ht="15.75" customHeight="1">
      <c r="E1316" s="18"/>
      <c r="G1316" s="19"/>
      <c r="H1316" s="18"/>
    </row>
    <row r="1317" ht="15.75" customHeight="1">
      <c r="E1317" s="18"/>
      <c r="G1317" s="19"/>
      <c r="H1317" s="18"/>
    </row>
    <row r="1318" ht="15.75" customHeight="1">
      <c r="E1318" s="18"/>
      <c r="G1318" s="19"/>
      <c r="H1318" s="18"/>
    </row>
    <row r="1319" ht="15.75" customHeight="1">
      <c r="E1319" s="18"/>
      <c r="G1319" s="19"/>
      <c r="H1319" s="18"/>
    </row>
    <row r="1320" ht="15.75" customHeight="1">
      <c r="E1320" s="18"/>
      <c r="G1320" s="19"/>
      <c r="H1320" s="18"/>
    </row>
    <row r="1321" ht="15.75" customHeight="1">
      <c r="E1321" s="18"/>
      <c r="G1321" s="19"/>
      <c r="H1321" s="18"/>
    </row>
    <row r="1322" ht="15.75" customHeight="1">
      <c r="E1322" s="18"/>
      <c r="G1322" s="19"/>
      <c r="H1322" s="18"/>
    </row>
    <row r="1323" ht="15.75" customHeight="1">
      <c r="E1323" s="18"/>
      <c r="G1323" s="19"/>
      <c r="H1323" s="18"/>
    </row>
    <row r="1324" ht="15.75" customHeight="1">
      <c r="E1324" s="18"/>
      <c r="G1324" s="19"/>
      <c r="H1324" s="18"/>
    </row>
    <row r="1325" ht="15.75" customHeight="1">
      <c r="E1325" s="18"/>
      <c r="G1325" s="19"/>
      <c r="H1325" s="18"/>
    </row>
    <row r="1326" ht="15.75" customHeight="1">
      <c r="E1326" s="18"/>
      <c r="G1326" s="19"/>
      <c r="H1326" s="18"/>
    </row>
    <row r="1327" ht="15.75" customHeight="1">
      <c r="E1327" s="18"/>
      <c r="G1327" s="19"/>
      <c r="H1327" s="18"/>
    </row>
    <row r="1328" ht="15.75" customHeight="1">
      <c r="E1328" s="18"/>
      <c r="G1328" s="19"/>
      <c r="H1328" s="18"/>
    </row>
    <row r="1329" ht="15.75" customHeight="1">
      <c r="E1329" s="18"/>
      <c r="G1329" s="19"/>
      <c r="H1329" s="18"/>
    </row>
    <row r="1330" ht="15.75" customHeight="1">
      <c r="E1330" s="18"/>
      <c r="G1330" s="19"/>
      <c r="H1330" s="18"/>
    </row>
    <row r="1331" ht="15.75" customHeight="1">
      <c r="E1331" s="18"/>
      <c r="G1331" s="19"/>
      <c r="H1331" s="18"/>
    </row>
    <row r="1332" ht="15.75" customHeight="1">
      <c r="E1332" s="18"/>
      <c r="G1332" s="19"/>
      <c r="H1332" s="18"/>
    </row>
    <row r="1333" ht="15.75" customHeight="1">
      <c r="E1333" s="18"/>
      <c r="G1333" s="19"/>
      <c r="H1333" s="18"/>
    </row>
    <row r="1334" ht="15.75" customHeight="1">
      <c r="E1334" s="18"/>
      <c r="G1334" s="19"/>
      <c r="H1334" s="18"/>
    </row>
    <row r="1335" ht="15.75" customHeight="1">
      <c r="E1335" s="18"/>
      <c r="G1335" s="19"/>
      <c r="H1335" s="18"/>
    </row>
    <row r="1336" ht="15.75" customHeight="1">
      <c r="E1336" s="18"/>
      <c r="G1336" s="19"/>
      <c r="H1336" s="18"/>
    </row>
    <row r="1337" ht="15.75" customHeight="1">
      <c r="E1337" s="18"/>
      <c r="G1337" s="19"/>
      <c r="H1337" s="18"/>
    </row>
    <row r="1338" ht="15.75" customHeight="1">
      <c r="E1338" s="18"/>
      <c r="G1338" s="19"/>
      <c r="H1338" s="18"/>
    </row>
    <row r="1339" ht="15.75" customHeight="1">
      <c r="E1339" s="18"/>
      <c r="G1339" s="19"/>
      <c r="H1339" s="18"/>
    </row>
    <row r="1340" ht="15.75" customHeight="1">
      <c r="E1340" s="18"/>
      <c r="G1340" s="19"/>
      <c r="H1340" s="18"/>
    </row>
    <row r="1341" ht="15.75" customHeight="1">
      <c r="E1341" s="18"/>
      <c r="G1341" s="19"/>
      <c r="H1341" s="18"/>
    </row>
    <row r="1342" ht="15.75" customHeight="1">
      <c r="E1342" s="18"/>
      <c r="G1342" s="19"/>
      <c r="H1342" s="18"/>
    </row>
    <row r="1343" ht="15.75" customHeight="1">
      <c r="E1343" s="18"/>
      <c r="G1343" s="19"/>
      <c r="H1343" s="18"/>
    </row>
    <row r="1344" ht="15.75" customHeight="1">
      <c r="E1344" s="18"/>
      <c r="G1344" s="19"/>
      <c r="H1344" s="18"/>
    </row>
    <row r="1345" ht="15.75" customHeight="1">
      <c r="E1345" s="18"/>
      <c r="G1345" s="19"/>
      <c r="H1345" s="18"/>
    </row>
    <row r="1346" ht="15.75" customHeight="1">
      <c r="E1346" s="18"/>
      <c r="G1346" s="19"/>
      <c r="H1346" s="18"/>
    </row>
    <row r="1347" ht="15.75" customHeight="1">
      <c r="E1347" s="18"/>
      <c r="G1347" s="19"/>
      <c r="H1347" s="18"/>
    </row>
    <row r="1348" ht="15.75" customHeight="1">
      <c r="E1348" s="18"/>
      <c r="G1348" s="19"/>
      <c r="H1348" s="18"/>
    </row>
    <row r="1349" ht="15.75" customHeight="1">
      <c r="E1349" s="18"/>
      <c r="G1349" s="19"/>
      <c r="H1349" s="18"/>
    </row>
    <row r="1350" ht="15.75" customHeight="1">
      <c r="E1350" s="18"/>
      <c r="G1350" s="19"/>
      <c r="H1350" s="18"/>
    </row>
    <row r="1351" ht="15.75" customHeight="1">
      <c r="E1351" s="18"/>
      <c r="G1351" s="19"/>
      <c r="H1351" s="18"/>
    </row>
    <row r="1352" ht="15.75" customHeight="1">
      <c r="E1352" s="18"/>
      <c r="G1352" s="19"/>
      <c r="H1352" s="18"/>
    </row>
    <row r="1353" ht="15.75" customHeight="1">
      <c r="E1353" s="18"/>
      <c r="G1353" s="19"/>
      <c r="H1353" s="18"/>
    </row>
    <row r="1354" ht="15.75" customHeight="1">
      <c r="E1354" s="18"/>
      <c r="G1354" s="19"/>
      <c r="H1354" s="18"/>
    </row>
    <row r="1355" ht="15.75" customHeight="1">
      <c r="E1355" s="18"/>
      <c r="G1355" s="19"/>
      <c r="H1355" s="18"/>
    </row>
    <row r="1356" ht="15.75" customHeight="1">
      <c r="E1356" s="18"/>
      <c r="G1356" s="19"/>
      <c r="H1356" s="18"/>
    </row>
    <row r="1357" ht="15.75" customHeight="1">
      <c r="E1357" s="18"/>
      <c r="G1357" s="19"/>
      <c r="H1357" s="18"/>
    </row>
    <row r="1358" ht="15.75" customHeight="1">
      <c r="E1358" s="18"/>
      <c r="G1358" s="19"/>
      <c r="H1358" s="18"/>
    </row>
    <row r="1359" ht="15.75" customHeight="1">
      <c r="E1359" s="18"/>
      <c r="G1359" s="19"/>
      <c r="H1359" s="18"/>
    </row>
    <row r="1360" ht="15.75" customHeight="1">
      <c r="E1360" s="18"/>
      <c r="G1360" s="19"/>
      <c r="H1360" s="18"/>
    </row>
    <row r="1361" ht="15.75" customHeight="1">
      <c r="E1361" s="18"/>
      <c r="G1361" s="19"/>
      <c r="H1361" s="18"/>
    </row>
    <row r="1362" ht="15.75" customHeight="1">
      <c r="E1362" s="18"/>
      <c r="G1362" s="19"/>
      <c r="H1362" s="18"/>
    </row>
    <row r="1363" ht="15.75" customHeight="1">
      <c r="E1363" s="18"/>
      <c r="G1363" s="19"/>
      <c r="H1363" s="18"/>
    </row>
    <row r="1364" ht="15.75" customHeight="1">
      <c r="E1364" s="18"/>
      <c r="G1364" s="19"/>
      <c r="H1364" s="18"/>
    </row>
    <row r="1365" ht="15.75" customHeight="1">
      <c r="E1365" s="18"/>
      <c r="G1365" s="19"/>
      <c r="H1365" s="18"/>
    </row>
    <row r="1366" ht="15.75" customHeight="1">
      <c r="E1366" s="18"/>
      <c r="G1366" s="19"/>
      <c r="H1366" s="18"/>
    </row>
    <row r="1367" ht="15.75" customHeight="1">
      <c r="E1367" s="18"/>
      <c r="G1367" s="19"/>
      <c r="H1367" s="18"/>
    </row>
    <row r="1368" ht="15.75" customHeight="1">
      <c r="E1368" s="18"/>
      <c r="G1368" s="19"/>
      <c r="H1368" s="18"/>
    </row>
    <row r="1369" ht="15.75" customHeight="1">
      <c r="E1369" s="18"/>
      <c r="G1369" s="19"/>
      <c r="H1369" s="18"/>
    </row>
    <row r="1370" ht="15.75" customHeight="1">
      <c r="E1370" s="18"/>
      <c r="G1370" s="19"/>
      <c r="H1370" s="18"/>
    </row>
    <row r="1371" ht="15.75" customHeight="1">
      <c r="E1371" s="18"/>
      <c r="G1371" s="19"/>
      <c r="H1371" s="18"/>
    </row>
    <row r="1372" ht="15.75" customHeight="1">
      <c r="E1372" s="18"/>
      <c r="G1372" s="19"/>
      <c r="H1372" s="18"/>
    </row>
    <row r="1373" ht="15.75" customHeight="1">
      <c r="E1373" s="18"/>
      <c r="G1373" s="19"/>
      <c r="H1373" s="18"/>
    </row>
    <row r="1374" ht="15.75" customHeight="1">
      <c r="E1374" s="18"/>
      <c r="G1374" s="19"/>
      <c r="H1374" s="18"/>
    </row>
    <row r="1375" ht="15.75" customHeight="1">
      <c r="E1375" s="18"/>
      <c r="G1375" s="19"/>
      <c r="H1375" s="18"/>
    </row>
    <row r="1376" ht="15.75" customHeight="1">
      <c r="E1376" s="18"/>
      <c r="G1376" s="19"/>
      <c r="H1376" s="18"/>
    </row>
    <row r="1377" ht="15.75" customHeight="1">
      <c r="E1377" s="18"/>
      <c r="G1377" s="19"/>
      <c r="H1377" s="18"/>
    </row>
    <row r="1378" ht="15.75" customHeight="1">
      <c r="E1378" s="18"/>
      <c r="G1378" s="19"/>
      <c r="H1378" s="18"/>
    </row>
    <row r="1379" ht="15.75" customHeight="1">
      <c r="E1379" s="18"/>
      <c r="G1379" s="19"/>
      <c r="H1379" s="18"/>
    </row>
    <row r="1380" ht="15.75" customHeight="1">
      <c r="E1380" s="18"/>
      <c r="G1380" s="19"/>
      <c r="H1380" s="18"/>
    </row>
    <row r="1381" ht="15.75" customHeight="1">
      <c r="E1381" s="18"/>
      <c r="G1381" s="19"/>
      <c r="H1381" s="18"/>
    </row>
    <row r="1382" ht="15.75" customHeight="1">
      <c r="E1382" s="18"/>
      <c r="G1382" s="19"/>
      <c r="H1382" s="18"/>
    </row>
    <row r="1383" ht="15.75" customHeight="1">
      <c r="E1383" s="18"/>
      <c r="G1383" s="19"/>
      <c r="H1383" s="18"/>
    </row>
    <row r="1384" ht="15.75" customHeight="1">
      <c r="E1384" s="18"/>
      <c r="G1384" s="19"/>
      <c r="H1384" s="18"/>
    </row>
    <row r="1385" ht="15.75" customHeight="1">
      <c r="E1385" s="18"/>
      <c r="G1385" s="19"/>
      <c r="H1385" s="18"/>
    </row>
    <row r="1386" ht="15.75" customHeight="1">
      <c r="E1386" s="18"/>
      <c r="G1386" s="19"/>
      <c r="H1386" s="18"/>
    </row>
    <row r="1387" ht="15.75" customHeight="1">
      <c r="E1387" s="18"/>
      <c r="G1387" s="19"/>
      <c r="H1387" s="18"/>
    </row>
    <row r="1388" ht="15.75" customHeight="1">
      <c r="E1388" s="18"/>
      <c r="G1388" s="19"/>
      <c r="H1388" s="18"/>
    </row>
    <row r="1389" ht="15.75" customHeight="1">
      <c r="E1389" s="18"/>
      <c r="G1389" s="19"/>
      <c r="H1389" s="18"/>
    </row>
    <row r="1390" ht="15.75" customHeight="1">
      <c r="E1390" s="18"/>
      <c r="G1390" s="19"/>
      <c r="H1390" s="18"/>
    </row>
    <row r="1391" ht="15.75" customHeight="1">
      <c r="E1391" s="18"/>
      <c r="G1391" s="19"/>
      <c r="H1391" s="18"/>
    </row>
    <row r="1392" ht="15.75" customHeight="1">
      <c r="E1392" s="18"/>
      <c r="G1392" s="19"/>
      <c r="H1392" s="18"/>
    </row>
    <row r="1393" ht="15.75" customHeight="1">
      <c r="E1393" s="18"/>
      <c r="G1393" s="19"/>
      <c r="H1393" s="18"/>
    </row>
    <row r="1394" ht="15.75" customHeight="1">
      <c r="E1394" s="18"/>
      <c r="G1394" s="19"/>
      <c r="H1394" s="18"/>
    </row>
    <row r="1395" ht="15.75" customHeight="1">
      <c r="E1395" s="18"/>
      <c r="G1395" s="19"/>
      <c r="H1395" s="18"/>
    </row>
    <row r="1396" ht="15.75" customHeight="1">
      <c r="E1396" s="18"/>
      <c r="G1396" s="19"/>
      <c r="H1396" s="18"/>
    </row>
    <row r="1397" ht="15.75" customHeight="1">
      <c r="E1397" s="18"/>
      <c r="G1397" s="19"/>
      <c r="H1397" s="18"/>
    </row>
    <row r="1398" ht="15.75" customHeight="1">
      <c r="E1398" s="18"/>
      <c r="G1398" s="19"/>
      <c r="H1398" s="18"/>
    </row>
    <row r="1399" ht="15.75" customHeight="1">
      <c r="E1399" s="18"/>
      <c r="G1399" s="19"/>
      <c r="H1399" s="18"/>
    </row>
    <row r="1400" ht="15.75" customHeight="1">
      <c r="E1400" s="18"/>
      <c r="G1400" s="19"/>
      <c r="H1400" s="18"/>
    </row>
    <row r="1401" ht="15.75" customHeight="1">
      <c r="E1401" s="18"/>
      <c r="G1401" s="19"/>
      <c r="H1401" s="18"/>
    </row>
    <row r="1402" ht="15.75" customHeight="1">
      <c r="E1402" s="18"/>
      <c r="G1402" s="19"/>
      <c r="H1402" s="18"/>
    </row>
    <row r="1403" ht="15.75" customHeight="1">
      <c r="E1403" s="18"/>
      <c r="G1403" s="19"/>
      <c r="H1403" s="18"/>
    </row>
    <row r="1404" ht="15.75" customHeight="1">
      <c r="E1404" s="18"/>
      <c r="G1404" s="19"/>
      <c r="H1404" s="18"/>
    </row>
    <row r="1405" ht="15.75" customHeight="1">
      <c r="E1405" s="18"/>
      <c r="G1405" s="19"/>
      <c r="H1405" s="18"/>
    </row>
    <row r="1406" ht="15.75" customHeight="1">
      <c r="E1406" s="18"/>
      <c r="G1406" s="19"/>
      <c r="H1406" s="18"/>
    </row>
    <row r="1407" ht="15.75" customHeight="1">
      <c r="E1407" s="18"/>
      <c r="G1407" s="19"/>
      <c r="H1407" s="18"/>
    </row>
    <row r="1408" ht="15.75" customHeight="1">
      <c r="E1408" s="18"/>
      <c r="G1408" s="19"/>
      <c r="H1408" s="18"/>
    </row>
    <row r="1409" ht="15.75" customHeight="1">
      <c r="E1409" s="18"/>
      <c r="G1409" s="19"/>
      <c r="H1409" s="18"/>
    </row>
    <row r="1410" ht="15.75" customHeight="1">
      <c r="E1410" s="18"/>
      <c r="G1410" s="19"/>
      <c r="H1410" s="18"/>
    </row>
    <row r="1411" ht="15.75" customHeight="1">
      <c r="E1411" s="18"/>
      <c r="G1411" s="19"/>
      <c r="H1411" s="18"/>
    </row>
    <row r="1412" ht="15.75" customHeight="1">
      <c r="E1412" s="18"/>
      <c r="G1412" s="19"/>
      <c r="H1412" s="18"/>
    </row>
    <row r="1413" ht="15.75" customHeight="1">
      <c r="E1413" s="18"/>
      <c r="G1413" s="19"/>
      <c r="H1413" s="18"/>
    </row>
    <row r="1414" ht="15.75" customHeight="1">
      <c r="E1414" s="18"/>
      <c r="G1414" s="19"/>
      <c r="H1414" s="18"/>
    </row>
    <row r="1415" ht="15.75" customHeight="1">
      <c r="E1415" s="18"/>
      <c r="G1415" s="19"/>
      <c r="H1415" s="18"/>
    </row>
    <row r="1416" ht="15.75" customHeight="1">
      <c r="E1416" s="18"/>
      <c r="G1416" s="19"/>
      <c r="H1416" s="18"/>
    </row>
    <row r="1417" ht="15.75" customHeight="1">
      <c r="E1417" s="18"/>
      <c r="G1417" s="19"/>
      <c r="H1417" s="18"/>
    </row>
    <row r="1418" ht="15.75" customHeight="1">
      <c r="E1418" s="18"/>
      <c r="G1418" s="19"/>
      <c r="H1418" s="18"/>
    </row>
    <row r="1419" ht="15.75" customHeight="1">
      <c r="E1419" s="18"/>
      <c r="G1419" s="19"/>
      <c r="H1419" s="18"/>
    </row>
    <row r="1420" ht="15.75" customHeight="1">
      <c r="E1420" s="18"/>
      <c r="G1420" s="19"/>
      <c r="H1420" s="18"/>
    </row>
    <row r="1421" ht="15.75" customHeight="1">
      <c r="E1421" s="18"/>
      <c r="G1421" s="19"/>
      <c r="H1421" s="18"/>
    </row>
    <row r="1422" ht="15.75" customHeight="1">
      <c r="E1422" s="18"/>
      <c r="G1422" s="19"/>
      <c r="H1422" s="18"/>
    </row>
    <row r="1423" ht="15.75" customHeight="1">
      <c r="E1423" s="18"/>
      <c r="G1423" s="19"/>
      <c r="H1423" s="18"/>
    </row>
    <row r="1424" ht="15.75" customHeight="1">
      <c r="E1424" s="18"/>
      <c r="G1424" s="19"/>
      <c r="H1424" s="18"/>
    </row>
    <row r="1425" ht="15.75" customHeight="1">
      <c r="E1425" s="18"/>
      <c r="G1425" s="19"/>
      <c r="H1425" s="18"/>
    </row>
    <row r="1426" ht="15.75" customHeight="1">
      <c r="E1426" s="18"/>
      <c r="G1426" s="19"/>
      <c r="H1426" s="18"/>
    </row>
    <row r="1427" ht="15.75" customHeight="1">
      <c r="E1427" s="18"/>
      <c r="G1427" s="19"/>
      <c r="H1427" s="18"/>
    </row>
    <row r="1428" ht="15.75" customHeight="1">
      <c r="E1428" s="18"/>
      <c r="G1428" s="19"/>
      <c r="H1428" s="18"/>
    </row>
    <row r="1429" ht="15.75" customHeight="1">
      <c r="E1429" s="18"/>
      <c r="G1429" s="19"/>
      <c r="H1429" s="18"/>
    </row>
    <row r="1430" ht="15.75" customHeight="1">
      <c r="E1430" s="18"/>
      <c r="G1430" s="19"/>
      <c r="H1430" s="18"/>
    </row>
    <row r="1431" ht="15.75" customHeight="1">
      <c r="E1431" s="18"/>
      <c r="G1431" s="19"/>
      <c r="H1431" s="18"/>
    </row>
    <row r="1432" ht="15.75" customHeight="1">
      <c r="E1432" s="18"/>
      <c r="G1432" s="19"/>
      <c r="H1432" s="18"/>
    </row>
    <row r="1433" ht="15.75" customHeight="1">
      <c r="E1433" s="18"/>
      <c r="G1433" s="19"/>
      <c r="H1433" s="18"/>
    </row>
    <row r="1434" ht="15.75" customHeight="1">
      <c r="E1434" s="18"/>
      <c r="G1434" s="19"/>
      <c r="H1434" s="18"/>
    </row>
    <row r="1435" ht="15.75" customHeight="1">
      <c r="E1435" s="18"/>
      <c r="G1435" s="19"/>
      <c r="H1435" s="18"/>
    </row>
    <row r="1436" ht="15.75" customHeight="1">
      <c r="E1436" s="18"/>
      <c r="G1436" s="19"/>
      <c r="H1436" s="18"/>
    </row>
    <row r="1437" ht="15.75" customHeight="1">
      <c r="E1437" s="18"/>
      <c r="G1437" s="19"/>
      <c r="H1437" s="18"/>
    </row>
    <row r="1438" ht="15.75" customHeight="1">
      <c r="E1438" s="18"/>
      <c r="G1438" s="19"/>
      <c r="H1438" s="18"/>
    </row>
    <row r="1439" ht="15.75" customHeight="1">
      <c r="E1439" s="18"/>
      <c r="G1439" s="19"/>
      <c r="H1439" s="18"/>
    </row>
    <row r="1440" ht="15.75" customHeight="1">
      <c r="E1440" s="18"/>
      <c r="G1440" s="19"/>
      <c r="H1440" s="18"/>
    </row>
    <row r="1441" ht="15.75" customHeight="1">
      <c r="E1441" s="18"/>
      <c r="G1441" s="19"/>
      <c r="H1441" s="18"/>
    </row>
    <row r="1442" ht="15.75" customHeight="1">
      <c r="E1442" s="18"/>
      <c r="G1442" s="19"/>
      <c r="H1442" s="18"/>
    </row>
    <row r="1443" ht="15.75" customHeight="1">
      <c r="E1443" s="18"/>
      <c r="G1443" s="19"/>
      <c r="H1443" s="18"/>
    </row>
    <row r="1444" ht="15.75" customHeight="1">
      <c r="E1444" s="18"/>
      <c r="G1444" s="19"/>
      <c r="H1444" s="18"/>
    </row>
    <row r="1445" ht="15.75" customHeight="1">
      <c r="E1445" s="18"/>
      <c r="G1445" s="19"/>
      <c r="H1445" s="18"/>
    </row>
    <row r="1446" ht="15.75" customHeight="1">
      <c r="E1446" s="18"/>
      <c r="G1446" s="19"/>
      <c r="H1446" s="18"/>
    </row>
    <row r="1447" ht="15.75" customHeight="1">
      <c r="E1447" s="18"/>
      <c r="G1447" s="19"/>
      <c r="H1447" s="18"/>
    </row>
    <row r="1448" ht="15.75" customHeight="1">
      <c r="E1448" s="18"/>
      <c r="G1448" s="19"/>
      <c r="H1448" s="18"/>
    </row>
    <row r="1449" ht="15.75" customHeight="1">
      <c r="E1449" s="18"/>
      <c r="G1449" s="19"/>
      <c r="H1449" s="18"/>
    </row>
    <row r="1450" ht="15.75" customHeight="1">
      <c r="E1450" s="18"/>
      <c r="G1450" s="19"/>
      <c r="H1450" s="18"/>
    </row>
    <row r="1451" ht="15.75" customHeight="1">
      <c r="E1451" s="18"/>
      <c r="G1451" s="19"/>
      <c r="H1451" s="18"/>
    </row>
    <row r="1452" ht="15.75" customHeight="1">
      <c r="E1452" s="18"/>
      <c r="G1452" s="19"/>
      <c r="H1452" s="18"/>
    </row>
    <row r="1453" ht="15.75" customHeight="1">
      <c r="E1453" s="18"/>
      <c r="G1453" s="19"/>
      <c r="H1453" s="18"/>
    </row>
    <row r="1454" ht="15.75" customHeight="1">
      <c r="E1454" s="18"/>
      <c r="G1454" s="19"/>
      <c r="H1454" s="18"/>
    </row>
    <row r="1455" ht="15.75" customHeight="1">
      <c r="E1455" s="18"/>
      <c r="G1455" s="19"/>
      <c r="H1455" s="18"/>
    </row>
    <row r="1456" ht="15.75" customHeight="1">
      <c r="E1456" s="18"/>
      <c r="G1456" s="19"/>
      <c r="H1456" s="18"/>
    </row>
    <row r="1457" ht="15.75" customHeight="1">
      <c r="E1457" s="18"/>
      <c r="G1457" s="19"/>
      <c r="H1457" s="18"/>
    </row>
    <row r="1458" ht="15.75" customHeight="1">
      <c r="E1458" s="18"/>
      <c r="G1458" s="19"/>
      <c r="H1458" s="18"/>
    </row>
    <row r="1459" ht="15.75" customHeight="1">
      <c r="E1459" s="18"/>
      <c r="G1459" s="19"/>
      <c r="H1459" s="18"/>
    </row>
    <row r="1460" ht="15.75" customHeight="1">
      <c r="E1460" s="18"/>
      <c r="G1460" s="19"/>
      <c r="H1460" s="18"/>
    </row>
    <row r="1461" ht="15.75" customHeight="1">
      <c r="E1461" s="18"/>
      <c r="G1461" s="19"/>
      <c r="H1461" s="18"/>
    </row>
    <row r="1462" ht="15.75" customHeight="1">
      <c r="E1462" s="18"/>
      <c r="G1462" s="19"/>
      <c r="H1462" s="18"/>
    </row>
    <row r="1463" ht="15.75" customHeight="1">
      <c r="E1463" s="18"/>
      <c r="G1463" s="19"/>
      <c r="H1463" s="18"/>
    </row>
    <row r="1464" ht="15.75" customHeight="1">
      <c r="E1464" s="18"/>
      <c r="G1464" s="19"/>
      <c r="H1464" s="18"/>
    </row>
    <row r="1465" ht="15.75" customHeight="1">
      <c r="E1465" s="18"/>
      <c r="G1465" s="19"/>
      <c r="H1465" s="18"/>
    </row>
    <row r="1466" ht="15.75" customHeight="1">
      <c r="E1466" s="18"/>
      <c r="G1466" s="19"/>
      <c r="H1466" s="18"/>
    </row>
    <row r="1467" ht="15.75" customHeight="1">
      <c r="E1467" s="18"/>
      <c r="G1467" s="19"/>
      <c r="H1467" s="18"/>
    </row>
    <row r="1468" ht="15.75" customHeight="1">
      <c r="E1468" s="18"/>
      <c r="G1468" s="19"/>
      <c r="H1468" s="18"/>
    </row>
    <row r="1469" ht="15.75" customHeight="1">
      <c r="E1469" s="18"/>
      <c r="G1469" s="19"/>
      <c r="H1469" s="18"/>
    </row>
    <row r="1470" ht="15.75" customHeight="1">
      <c r="E1470" s="18"/>
      <c r="G1470" s="19"/>
      <c r="H1470" s="18"/>
    </row>
    <row r="1471" ht="15.75" customHeight="1">
      <c r="E1471" s="18"/>
      <c r="G1471" s="19"/>
      <c r="H1471" s="18"/>
    </row>
    <row r="1472" ht="15.75" customHeight="1">
      <c r="E1472" s="18"/>
      <c r="G1472" s="19"/>
      <c r="H1472" s="18"/>
    </row>
    <row r="1473" ht="15.75" customHeight="1">
      <c r="E1473" s="18"/>
      <c r="G1473" s="19"/>
      <c r="H1473" s="18"/>
    </row>
    <row r="1474" ht="15.75" customHeight="1">
      <c r="E1474" s="18"/>
      <c r="G1474" s="19"/>
      <c r="H1474" s="18"/>
    </row>
    <row r="1475" ht="15.75" customHeight="1">
      <c r="E1475" s="18"/>
      <c r="G1475" s="19"/>
      <c r="H1475" s="18"/>
    </row>
    <row r="1476" ht="15.75" customHeight="1">
      <c r="E1476" s="18"/>
      <c r="G1476" s="19"/>
      <c r="H1476" s="18"/>
    </row>
    <row r="1477" ht="15.75" customHeight="1">
      <c r="E1477" s="18"/>
      <c r="G1477" s="19"/>
      <c r="H1477" s="18"/>
    </row>
    <row r="1478" ht="15.75" customHeight="1">
      <c r="E1478" s="18"/>
      <c r="G1478" s="19"/>
      <c r="H1478" s="18"/>
    </row>
    <row r="1479" ht="15.75" customHeight="1">
      <c r="E1479" s="18"/>
      <c r="G1479" s="19"/>
      <c r="H1479" s="18"/>
    </row>
    <row r="1480" ht="15.75" customHeight="1">
      <c r="E1480" s="18"/>
      <c r="G1480" s="19"/>
      <c r="H1480" s="18"/>
    </row>
    <row r="1481" ht="15.75" customHeight="1">
      <c r="E1481" s="18"/>
      <c r="G1481" s="19"/>
      <c r="H1481" s="18"/>
    </row>
    <row r="1482" ht="15.75" customHeight="1">
      <c r="E1482" s="18"/>
      <c r="G1482" s="19"/>
      <c r="H1482" s="18"/>
    </row>
    <row r="1483" ht="15.75" customHeight="1">
      <c r="E1483" s="18"/>
      <c r="G1483" s="19"/>
      <c r="H1483" s="18"/>
    </row>
    <row r="1484" ht="15.75" customHeight="1">
      <c r="E1484" s="18"/>
      <c r="G1484" s="19"/>
      <c r="H1484" s="18"/>
    </row>
    <row r="1485" ht="15.75" customHeight="1">
      <c r="E1485" s="18"/>
      <c r="G1485" s="19"/>
      <c r="H1485" s="18"/>
    </row>
    <row r="1486" ht="15.75" customHeight="1">
      <c r="E1486" s="18"/>
      <c r="G1486" s="19"/>
      <c r="H1486" s="18"/>
    </row>
    <row r="1487" ht="15.75" customHeight="1">
      <c r="E1487" s="18"/>
      <c r="G1487" s="19"/>
      <c r="H1487" s="18"/>
    </row>
    <row r="1488" ht="15.75" customHeight="1">
      <c r="E1488" s="18"/>
      <c r="G1488" s="19"/>
      <c r="H1488" s="18"/>
    </row>
    <row r="1489" ht="15.75" customHeight="1">
      <c r="E1489" s="18"/>
      <c r="G1489" s="19"/>
      <c r="H1489" s="18"/>
    </row>
    <row r="1490" ht="15.75" customHeight="1">
      <c r="E1490" s="18"/>
      <c r="G1490" s="19"/>
      <c r="H1490" s="18"/>
    </row>
    <row r="1491" ht="15.75" customHeight="1">
      <c r="E1491" s="18"/>
      <c r="G1491" s="19"/>
      <c r="H1491" s="18"/>
    </row>
    <row r="1492" ht="15.75" customHeight="1">
      <c r="E1492" s="18"/>
      <c r="G1492" s="19"/>
      <c r="H1492" s="18"/>
    </row>
    <row r="1493" ht="15.75" customHeight="1">
      <c r="E1493" s="18"/>
      <c r="G1493" s="19"/>
      <c r="H1493" s="18"/>
    </row>
    <row r="1494" ht="15.75" customHeight="1">
      <c r="E1494" s="18"/>
      <c r="G1494" s="19"/>
      <c r="H1494" s="18"/>
    </row>
    <row r="1495" ht="15.75" customHeight="1">
      <c r="E1495" s="18"/>
      <c r="G1495" s="19"/>
      <c r="H1495" s="18"/>
    </row>
    <row r="1496" ht="15.75" customHeight="1">
      <c r="E1496" s="18"/>
      <c r="G1496" s="19"/>
      <c r="H1496" s="18"/>
    </row>
    <row r="1497" ht="15.75" customHeight="1">
      <c r="E1497" s="18"/>
      <c r="G1497" s="19"/>
      <c r="H1497" s="18"/>
    </row>
    <row r="1498" ht="15.75" customHeight="1">
      <c r="E1498" s="18"/>
      <c r="G1498" s="19"/>
      <c r="H1498" s="18"/>
    </row>
    <row r="1499" ht="15.75" customHeight="1">
      <c r="E1499" s="18"/>
      <c r="G1499" s="19"/>
      <c r="H1499" s="18"/>
    </row>
    <row r="1500" ht="15.75" customHeight="1">
      <c r="E1500" s="18"/>
      <c r="G1500" s="19"/>
      <c r="H1500" s="18"/>
    </row>
    <row r="1501" ht="15.75" customHeight="1">
      <c r="E1501" s="18"/>
      <c r="G1501" s="19"/>
      <c r="H1501" s="18"/>
    </row>
    <row r="1502" ht="15.75" customHeight="1">
      <c r="E1502" s="18"/>
      <c r="G1502" s="19"/>
      <c r="H1502" s="18"/>
    </row>
    <row r="1503" ht="15.75" customHeight="1">
      <c r="E1503" s="18"/>
      <c r="G1503" s="19"/>
      <c r="H1503" s="18"/>
    </row>
    <row r="1504" ht="15.75" customHeight="1">
      <c r="E1504" s="18"/>
      <c r="G1504" s="19"/>
      <c r="H1504" s="18"/>
    </row>
    <row r="1505" ht="15.75" customHeight="1">
      <c r="E1505" s="18"/>
      <c r="G1505" s="19"/>
      <c r="H1505" s="18"/>
    </row>
    <row r="1506" ht="15.75" customHeight="1">
      <c r="E1506" s="18"/>
      <c r="G1506" s="19"/>
      <c r="H1506" s="18"/>
    </row>
    <row r="1507" ht="15.75" customHeight="1">
      <c r="E1507" s="18"/>
      <c r="G1507" s="19"/>
      <c r="H1507" s="18"/>
    </row>
    <row r="1508" ht="15.75" customHeight="1">
      <c r="E1508" s="18"/>
      <c r="G1508" s="19"/>
      <c r="H1508" s="18"/>
    </row>
    <row r="1509" ht="15.75" customHeight="1">
      <c r="E1509" s="18"/>
      <c r="G1509" s="19"/>
      <c r="H1509" s="18"/>
    </row>
    <row r="1510" ht="15.75" customHeight="1">
      <c r="E1510" s="18"/>
      <c r="G1510" s="19"/>
      <c r="H1510" s="18"/>
    </row>
    <row r="1511" ht="15.75" customHeight="1">
      <c r="E1511" s="18"/>
      <c r="G1511" s="19"/>
      <c r="H1511" s="18"/>
    </row>
    <row r="1512" ht="15.75" customHeight="1">
      <c r="E1512" s="18"/>
      <c r="G1512" s="19"/>
      <c r="H1512" s="18"/>
    </row>
    <row r="1513" ht="15.75" customHeight="1">
      <c r="E1513" s="18"/>
      <c r="G1513" s="19"/>
      <c r="H1513" s="18"/>
    </row>
    <row r="1514" ht="15.75" customHeight="1">
      <c r="E1514" s="18"/>
      <c r="G1514" s="19"/>
      <c r="H1514" s="18"/>
    </row>
    <row r="1515" ht="15.75" customHeight="1">
      <c r="E1515" s="18"/>
      <c r="G1515" s="19"/>
      <c r="H1515" s="18"/>
    </row>
    <row r="1516" ht="15.75" customHeight="1">
      <c r="E1516" s="18"/>
      <c r="G1516" s="19"/>
      <c r="H1516" s="18"/>
    </row>
    <row r="1517" ht="15.75" customHeight="1">
      <c r="E1517" s="18"/>
      <c r="G1517" s="19"/>
      <c r="H1517" s="18"/>
    </row>
    <row r="1518" ht="15.75" customHeight="1">
      <c r="E1518" s="18"/>
      <c r="G1518" s="19"/>
      <c r="H1518" s="18"/>
    </row>
    <row r="1519" ht="15.75" customHeight="1">
      <c r="E1519" s="18"/>
      <c r="G1519" s="19"/>
      <c r="H1519" s="18"/>
    </row>
    <row r="1520" ht="15.75" customHeight="1">
      <c r="E1520" s="18"/>
      <c r="G1520" s="19"/>
      <c r="H1520" s="18"/>
    </row>
    <row r="1521" ht="15.75" customHeight="1">
      <c r="E1521" s="18"/>
      <c r="G1521" s="19"/>
      <c r="H1521" s="18"/>
    </row>
    <row r="1522" ht="15.75" customHeight="1">
      <c r="E1522" s="18"/>
      <c r="G1522" s="19"/>
      <c r="H1522" s="18"/>
    </row>
    <row r="1523" ht="15.75" customHeight="1">
      <c r="E1523" s="18"/>
      <c r="G1523" s="19"/>
      <c r="H1523" s="18"/>
    </row>
    <row r="1524" ht="15.75" customHeight="1">
      <c r="E1524" s="18"/>
      <c r="G1524" s="19"/>
      <c r="H1524" s="18"/>
    </row>
    <row r="1525" ht="15.75" customHeight="1">
      <c r="E1525" s="18"/>
      <c r="G1525" s="19"/>
      <c r="H1525" s="18"/>
    </row>
    <row r="1526" ht="15.75" customHeight="1">
      <c r="E1526" s="18"/>
      <c r="G1526" s="19"/>
      <c r="H1526" s="18"/>
    </row>
    <row r="1527" ht="15.75" customHeight="1">
      <c r="E1527" s="18"/>
      <c r="G1527" s="19"/>
      <c r="H1527" s="18"/>
    </row>
    <row r="1528" ht="15.75" customHeight="1">
      <c r="E1528" s="18"/>
      <c r="G1528" s="19"/>
      <c r="H1528" s="18"/>
    </row>
    <row r="1529" ht="15.75" customHeight="1">
      <c r="E1529" s="18"/>
      <c r="G1529" s="19"/>
      <c r="H1529" s="18"/>
    </row>
    <row r="1530" ht="15.75" customHeight="1">
      <c r="E1530" s="18"/>
      <c r="G1530" s="19"/>
      <c r="H1530" s="18"/>
    </row>
    <row r="1531" ht="15.75" customHeight="1">
      <c r="E1531" s="18"/>
      <c r="G1531" s="19"/>
      <c r="H1531" s="18"/>
    </row>
    <row r="1532" ht="15.75" customHeight="1">
      <c r="E1532" s="18"/>
      <c r="G1532" s="19"/>
      <c r="H1532" s="18"/>
    </row>
    <row r="1533" ht="15.75" customHeight="1">
      <c r="E1533" s="18"/>
      <c r="G1533" s="19"/>
      <c r="H1533" s="18"/>
    </row>
    <row r="1534" ht="15.75" customHeight="1">
      <c r="E1534" s="18"/>
      <c r="G1534" s="19"/>
      <c r="H1534" s="18"/>
    </row>
    <row r="1535" ht="15.75" customHeight="1">
      <c r="E1535" s="18"/>
      <c r="G1535" s="19"/>
      <c r="H1535" s="18"/>
    </row>
    <row r="1536" ht="15.75" customHeight="1">
      <c r="E1536" s="18"/>
      <c r="G1536" s="19"/>
      <c r="H1536" s="18"/>
    </row>
    <row r="1537" ht="15.75" customHeight="1">
      <c r="E1537" s="18"/>
      <c r="G1537" s="19"/>
      <c r="H1537" s="18"/>
    </row>
    <row r="1538" ht="15.75" customHeight="1">
      <c r="E1538" s="18"/>
      <c r="G1538" s="19"/>
      <c r="H1538" s="18"/>
    </row>
    <row r="1539" ht="15.75" customHeight="1">
      <c r="E1539" s="18"/>
      <c r="G1539" s="19"/>
      <c r="H1539" s="18"/>
    </row>
    <row r="1540" ht="15.75" customHeight="1">
      <c r="E1540" s="18"/>
      <c r="G1540" s="19"/>
      <c r="H1540" s="18"/>
    </row>
    <row r="1541" ht="15.75" customHeight="1">
      <c r="E1541" s="18"/>
      <c r="G1541" s="19"/>
      <c r="H1541" s="18"/>
    </row>
    <row r="1542" ht="15.75" customHeight="1">
      <c r="E1542" s="18"/>
      <c r="G1542" s="19"/>
      <c r="H1542" s="18"/>
    </row>
    <row r="1543" ht="15.75" customHeight="1">
      <c r="E1543" s="18"/>
      <c r="G1543" s="19"/>
      <c r="H1543" s="18"/>
    </row>
    <row r="1544" ht="15.75" customHeight="1">
      <c r="E1544" s="18"/>
      <c r="G1544" s="19"/>
      <c r="H1544" s="18"/>
    </row>
    <row r="1545" ht="15.75" customHeight="1">
      <c r="E1545" s="18"/>
      <c r="G1545" s="19"/>
      <c r="H1545" s="18"/>
    </row>
    <row r="1546" ht="15.75" customHeight="1">
      <c r="E1546" s="18"/>
      <c r="G1546" s="19"/>
      <c r="H1546" s="18"/>
    </row>
    <row r="1547" ht="15.75" customHeight="1">
      <c r="E1547" s="18"/>
      <c r="G1547" s="19"/>
      <c r="H1547" s="18"/>
    </row>
    <row r="1548" ht="15.75" customHeight="1">
      <c r="E1548" s="18"/>
      <c r="G1548" s="19"/>
      <c r="H1548" s="18"/>
    </row>
    <row r="1549" ht="15.75" customHeight="1">
      <c r="E1549" s="18"/>
      <c r="G1549" s="19"/>
      <c r="H1549" s="18"/>
    </row>
    <row r="1550" ht="15.75" customHeight="1">
      <c r="E1550" s="18"/>
      <c r="G1550" s="19"/>
      <c r="H1550" s="18"/>
    </row>
    <row r="1551" ht="15.75" customHeight="1">
      <c r="E1551" s="18"/>
      <c r="G1551" s="19"/>
      <c r="H1551" s="18"/>
    </row>
    <row r="1552" ht="15.75" customHeight="1">
      <c r="E1552" s="18"/>
      <c r="G1552" s="19"/>
      <c r="H1552" s="18"/>
    </row>
    <row r="1553" ht="15.75" customHeight="1">
      <c r="E1553" s="18"/>
      <c r="G1553" s="19"/>
      <c r="H1553" s="18"/>
    </row>
    <row r="1554" ht="15.75" customHeight="1">
      <c r="E1554" s="18"/>
      <c r="G1554" s="19"/>
      <c r="H1554" s="18"/>
    </row>
    <row r="1555" ht="15.75" customHeight="1">
      <c r="E1555" s="18"/>
      <c r="G1555" s="19"/>
      <c r="H1555" s="18"/>
    </row>
    <row r="1556" ht="15.75" customHeight="1">
      <c r="E1556" s="18"/>
      <c r="G1556" s="19"/>
      <c r="H1556" s="18"/>
    </row>
    <row r="1557" ht="15.75" customHeight="1">
      <c r="E1557" s="18"/>
      <c r="G1557" s="19"/>
      <c r="H1557" s="18"/>
    </row>
    <row r="1558" ht="15.75" customHeight="1">
      <c r="E1558" s="18"/>
      <c r="G1558" s="19"/>
      <c r="H1558" s="18"/>
    </row>
    <row r="1559" ht="15.75" customHeight="1">
      <c r="E1559" s="18"/>
      <c r="G1559" s="19"/>
      <c r="H1559" s="18"/>
    </row>
    <row r="1560" ht="15.75" customHeight="1">
      <c r="E1560" s="18"/>
      <c r="G1560" s="19"/>
      <c r="H1560" s="18"/>
    </row>
    <row r="1561" ht="15.75" customHeight="1">
      <c r="E1561" s="18"/>
      <c r="G1561" s="19"/>
      <c r="H1561" s="18"/>
    </row>
    <row r="1562" ht="15.75" customHeight="1">
      <c r="E1562" s="18"/>
      <c r="G1562" s="19"/>
      <c r="H1562" s="18"/>
    </row>
    <row r="1563" ht="15.75" customHeight="1">
      <c r="E1563" s="18"/>
      <c r="G1563" s="19"/>
      <c r="H1563" s="18"/>
    </row>
    <row r="1564" ht="15.75" customHeight="1">
      <c r="E1564" s="18"/>
      <c r="G1564" s="19"/>
      <c r="H1564" s="18"/>
    </row>
    <row r="1565" ht="15.75" customHeight="1">
      <c r="E1565" s="18"/>
      <c r="G1565" s="19"/>
      <c r="H1565" s="18"/>
    </row>
    <row r="1566" ht="15.75" customHeight="1">
      <c r="E1566" s="18"/>
      <c r="G1566" s="19"/>
      <c r="H1566" s="18"/>
    </row>
    <row r="1567" ht="15.75" customHeight="1">
      <c r="E1567" s="18"/>
      <c r="G1567" s="19"/>
      <c r="H1567" s="18"/>
    </row>
    <row r="1568" ht="15.75" customHeight="1">
      <c r="E1568" s="18"/>
      <c r="G1568" s="19"/>
      <c r="H1568" s="18"/>
    </row>
    <row r="1569" ht="15.75" customHeight="1">
      <c r="E1569" s="18"/>
      <c r="G1569" s="19"/>
      <c r="H1569" s="18"/>
    </row>
    <row r="1570" ht="15.75" customHeight="1">
      <c r="E1570" s="18"/>
      <c r="G1570" s="19"/>
      <c r="H1570" s="18"/>
    </row>
    <row r="1571" ht="15.75" customHeight="1">
      <c r="E1571" s="18"/>
      <c r="G1571" s="19"/>
      <c r="H1571" s="18"/>
    </row>
    <row r="1572" ht="15.75" customHeight="1">
      <c r="E1572" s="18"/>
      <c r="G1572" s="19"/>
      <c r="H1572" s="18"/>
    </row>
    <row r="1573" ht="15.75" customHeight="1">
      <c r="E1573" s="18"/>
      <c r="G1573" s="19"/>
      <c r="H1573" s="18"/>
    </row>
    <row r="1574" ht="15.75" customHeight="1">
      <c r="E1574" s="18"/>
      <c r="G1574" s="19"/>
      <c r="H1574" s="18"/>
    </row>
    <row r="1575" ht="15.75" customHeight="1">
      <c r="E1575" s="18"/>
      <c r="G1575" s="19"/>
      <c r="H1575" s="18"/>
    </row>
    <row r="1576" ht="15.75" customHeight="1">
      <c r="E1576" s="18"/>
      <c r="G1576" s="19"/>
      <c r="H1576" s="18"/>
    </row>
    <row r="1577" ht="15.75" customHeight="1">
      <c r="E1577" s="18"/>
      <c r="G1577" s="19"/>
      <c r="H1577" s="18"/>
    </row>
    <row r="1578" ht="15.75" customHeight="1">
      <c r="E1578" s="18"/>
      <c r="G1578" s="19"/>
      <c r="H1578" s="18"/>
    </row>
    <row r="1579" ht="15.75" customHeight="1">
      <c r="E1579" s="18"/>
      <c r="G1579" s="19"/>
      <c r="H1579" s="18"/>
    </row>
    <row r="1580" ht="15.75" customHeight="1">
      <c r="E1580" s="18"/>
      <c r="G1580" s="19"/>
      <c r="H1580" s="18"/>
    </row>
    <row r="1581" ht="15.75" customHeight="1">
      <c r="E1581" s="18"/>
      <c r="G1581" s="19"/>
      <c r="H1581" s="18"/>
    </row>
    <row r="1582" ht="15.75" customHeight="1">
      <c r="E1582" s="18"/>
      <c r="G1582" s="19"/>
      <c r="H1582" s="18"/>
    </row>
    <row r="1583" ht="15.75" customHeight="1">
      <c r="E1583" s="18"/>
      <c r="G1583" s="19"/>
      <c r="H1583" s="18"/>
    </row>
    <row r="1584" ht="15.75" customHeight="1">
      <c r="E1584" s="18"/>
      <c r="G1584" s="19"/>
      <c r="H1584" s="18"/>
    </row>
    <row r="1585" ht="15.75" customHeight="1">
      <c r="E1585" s="18"/>
      <c r="G1585" s="19"/>
      <c r="H1585" s="18"/>
    </row>
    <row r="1586" ht="15.75" customHeight="1">
      <c r="E1586" s="18"/>
      <c r="G1586" s="19"/>
      <c r="H1586" s="18"/>
    </row>
    <row r="1587" ht="15.75" customHeight="1">
      <c r="E1587" s="18"/>
      <c r="G1587" s="19"/>
      <c r="H1587" s="18"/>
    </row>
    <row r="1588" ht="15.75" customHeight="1">
      <c r="E1588" s="18"/>
      <c r="G1588" s="19"/>
      <c r="H1588" s="18"/>
    </row>
    <row r="1589" ht="15.75" customHeight="1">
      <c r="E1589" s="18"/>
      <c r="G1589" s="19"/>
      <c r="H1589" s="18"/>
    </row>
    <row r="1590" ht="15.75" customHeight="1">
      <c r="E1590" s="18"/>
      <c r="G1590" s="19"/>
      <c r="H1590" s="18"/>
    </row>
    <row r="1591" ht="15.75" customHeight="1">
      <c r="E1591" s="18"/>
      <c r="G1591" s="19"/>
      <c r="H1591" s="18"/>
    </row>
    <row r="1592" ht="15.75" customHeight="1">
      <c r="E1592" s="18"/>
      <c r="G1592" s="19"/>
      <c r="H1592" s="18"/>
    </row>
    <row r="1593" ht="15.75" customHeight="1">
      <c r="E1593" s="18"/>
      <c r="G1593" s="19"/>
      <c r="H1593" s="18"/>
    </row>
    <row r="1594" ht="15.75" customHeight="1">
      <c r="E1594" s="18"/>
      <c r="G1594" s="19"/>
      <c r="H1594" s="18"/>
    </row>
    <row r="1595" ht="15.75" customHeight="1">
      <c r="E1595" s="18"/>
      <c r="G1595" s="19"/>
      <c r="H1595" s="18"/>
    </row>
    <row r="1596" ht="15.75" customHeight="1">
      <c r="E1596" s="18"/>
      <c r="G1596" s="19"/>
      <c r="H1596" s="18"/>
    </row>
    <row r="1597" ht="15.75" customHeight="1">
      <c r="E1597" s="18"/>
      <c r="G1597" s="19"/>
      <c r="H1597" s="18"/>
    </row>
    <row r="1598" ht="15.75" customHeight="1">
      <c r="E1598" s="18"/>
      <c r="G1598" s="19"/>
      <c r="H1598" s="18"/>
    </row>
    <row r="1599" ht="15.75" customHeight="1">
      <c r="E1599" s="18"/>
      <c r="G1599" s="19"/>
      <c r="H1599" s="18"/>
    </row>
    <row r="1600" ht="15.75" customHeight="1">
      <c r="E1600" s="18"/>
      <c r="G1600" s="19"/>
      <c r="H1600" s="18"/>
    </row>
    <row r="1601" ht="15.75" customHeight="1">
      <c r="E1601" s="18"/>
      <c r="G1601" s="19"/>
      <c r="H1601" s="18"/>
    </row>
    <row r="1602" ht="15.75" customHeight="1">
      <c r="E1602" s="18"/>
      <c r="G1602" s="19"/>
      <c r="H1602" s="18"/>
    </row>
    <row r="1603" ht="15.75" customHeight="1">
      <c r="E1603" s="18"/>
      <c r="G1603" s="19"/>
      <c r="H1603" s="18"/>
    </row>
    <row r="1604" ht="15.75" customHeight="1">
      <c r="E1604" s="18"/>
      <c r="G1604" s="19"/>
      <c r="H1604" s="18"/>
    </row>
    <row r="1605" ht="15.75" customHeight="1">
      <c r="E1605" s="18"/>
      <c r="G1605" s="19"/>
      <c r="H1605" s="18"/>
    </row>
    <row r="1606" ht="15.75" customHeight="1">
      <c r="E1606" s="18"/>
      <c r="G1606" s="19"/>
      <c r="H1606" s="18"/>
    </row>
    <row r="1607" ht="15.75" customHeight="1">
      <c r="E1607" s="18"/>
      <c r="G1607" s="19"/>
      <c r="H1607" s="18"/>
    </row>
    <row r="1608" ht="15.75" customHeight="1">
      <c r="E1608" s="18"/>
      <c r="G1608" s="19"/>
      <c r="H1608" s="18"/>
    </row>
    <row r="1609" ht="15.75" customHeight="1">
      <c r="E1609" s="18"/>
      <c r="G1609" s="19"/>
      <c r="H1609" s="18"/>
    </row>
    <row r="1610" ht="15.75" customHeight="1">
      <c r="E1610" s="18"/>
      <c r="G1610" s="19"/>
      <c r="H1610" s="18"/>
    </row>
    <row r="1611" ht="15.75" customHeight="1">
      <c r="E1611" s="18"/>
      <c r="G1611" s="19"/>
      <c r="H1611" s="18"/>
    </row>
    <row r="1612" ht="15.75" customHeight="1">
      <c r="E1612" s="18"/>
      <c r="G1612" s="19"/>
      <c r="H1612" s="18"/>
    </row>
    <row r="1613" ht="15.75" customHeight="1">
      <c r="E1613" s="18"/>
      <c r="G1613" s="19"/>
      <c r="H1613" s="18"/>
    </row>
    <row r="1614" ht="15.75" customHeight="1">
      <c r="E1614" s="18"/>
      <c r="G1614" s="19"/>
      <c r="H1614" s="18"/>
    </row>
    <row r="1615" ht="15.75" customHeight="1">
      <c r="E1615" s="18"/>
      <c r="G1615" s="19"/>
      <c r="H1615" s="18"/>
    </row>
    <row r="1616" ht="15.75" customHeight="1">
      <c r="E1616" s="18"/>
      <c r="G1616" s="19"/>
      <c r="H1616" s="18"/>
    </row>
    <row r="1617" ht="15.75" customHeight="1">
      <c r="E1617" s="18"/>
      <c r="G1617" s="19"/>
      <c r="H1617" s="18"/>
    </row>
    <row r="1618" ht="15.75" customHeight="1">
      <c r="E1618" s="18"/>
      <c r="G1618" s="19"/>
      <c r="H1618" s="18"/>
    </row>
    <row r="1619" ht="15.75" customHeight="1">
      <c r="E1619" s="18"/>
      <c r="G1619" s="19"/>
      <c r="H1619" s="18"/>
    </row>
    <row r="1620" ht="15.75" customHeight="1">
      <c r="E1620" s="18"/>
      <c r="G1620" s="19"/>
      <c r="H1620" s="18"/>
    </row>
    <row r="1621" ht="15.75" customHeight="1">
      <c r="E1621" s="18"/>
      <c r="G1621" s="19"/>
      <c r="H1621" s="18"/>
    </row>
    <row r="1622" ht="15.75" customHeight="1">
      <c r="E1622" s="18"/>
      <c r="G1622" s="19"/>
      <c r="H1622" s="18"/>
    </row>
    <row r="1623" ht="15.75" customHeight="1">
      <c r="E1623" s="18"/>
      <c r="G1623" s="19"/>
      <c r="H1623" s="18"/>
    </row>
    <row r="1624" ht="15.75" customHeight="1">
      <c r="E1624" s="18"/>
      <c r="G1624" s="19"/>
      <c r="H1624" s="18"/>
    </row>
    <row r="1625" ht="15.75" customHeight="1">
      <c r="E1625" s="18"/>
      <c r="G1625" s="19"/>
      <c r="H1625" s="18"/>
    </row>
    <row r="1626" ht="15.75" customHeight="1">
      <c r="E1626" s="18"/>
      <c r="G1626" s="19"/>
      <c r="H1626" s="18"/>
    </row>
    <row r="1627" ht="15.75" customHeight="1">
      <c r="E1627" s="18"/>
      <c r="G1627" s="19"/>
      <c r="H1627" s="18"/>
    </row>
    <row r="1628" ht="15.75" customHeight="1">
      <c r="E1628" s="18"/>
      <c r="G1628" s="19"/>
      <c r="H1628" s="18"/>
    </row>
    <row r="1629" ht="15.75" customHeight="1">
      <c r="E1629" s="18"/>
      <c r="G1629" s="19"/>
      <c r="H1629" s="18"/>
    </row>
    <row r="1630" ht="15.75" customHeight="1">
      <c r="E1630" s="18"/>
      <c r="G1630" s="19"/>
      <c r="H1630" s="18"/>
    </row>
    <row r="1631" ht="15.75" customHeight="1">
      <c r="E1631" s="18"/>
      <c r="G1631" s="19"/>
      <c r="H1631" s="18"/>
    </row>
    <row r="1632" ht="15.75" customHeight="1">
      <c r="E1632" s="18"/>
      <c r="G1632" s="19"/>
      <c r="H1632" s="18"/>
    </row>
    <row r="1633" ht="15.75" customHeight="1">
      <c r="E1633" s="18"/>
      <c r="G1633" s="19"/>
      <c r="H1633" s="18"/>
    </row>
    <row r="1634" ht="15.75" customHeight="1">
      <c r="E1634" s="18"/>
      <c r="G1634" s="19"/>
      <c r="H1634" s="18"/>
    </row>
    <row r="1635" ht="15.75" customHeight="1">
      <c r="E1635" s="18"/>
      <c r="G1635" s="19"/>
      <c r="H1635" s="18"/>
    </row>
    <row r="1636" ht="15.75" customHeight="1">
      <c r="E1636" s="18"/>
      <c r="G1636" s="19"/>
      <c r="H1636" s="18"/>
    </row>
    <row r="1637" ht="15.75" customHeight="1">
      <c r="E1637" s="18"/>
      <c r="G1637" s="19"/>
      <c r="H1637" s="18"/>
    </row>
    <row r="1638" ht="15.75" customHeight="1">
      <c r="E1638" s="18"/>
      <c r="G1638" s="19"/>
      <c r="H1638" s="18"/>
    </row>
    <row r="1639" ht="15.75" customHeight="1">
      <c r="E1639" s="18"/>
      <c r="G1639" s="19"/>
      <c r="H1639" s="18"/>
    </row>
    <row r="1640" ht="15.75" customHeight="1">
      <c r="E1640" s="18"/>
      <c r="G1640" s="19"/>
      <c r="H1640" s="18"/>
    </row>
    <row r="1641" ht="15.75" customHeight="1">
      <c r="E1641" s="18"/>
      <c r="G1641" s="19"/>
      <c r="H1641" s="18"/>
    </row>
    <row r="1642" ht="15.75" customHeight="1">
      <c r="E1642" s="18"/>
      <c r="G1642" s="19"/>
      <c r="H1642" s="18"/>
    </row>
    <row r="1643" ht="15.75" customHeight="1">
      <c r="E1643" s="18"/>
      <c r="G1643" s="19"/>
      <c r="H1643" s="18"/>
    </row>
    <row r="1644" ht="15.75" customHeight="1">
      <c r="E1644" s="18"/>
      <c r="G1644" s="19"/>
      <c r="H1644" s="18"/>
    </row>
    <row r="1645" ht="15.75" customHeight="1">
      <c r="E1645" s="18"/>
      <c r="G1645" s="19"/>
      <c r="H1645" s="18"/>
    </row>
    <row r="1646" ht="15.75" customHeight="1">
      <c r="E1646" s="18"/>
      <c r="G1646" s="19"/>
      <c r="H1646" s="18"/>
    </row>
    <row r="1647" ht="15.75" customHeight="1">
      <c r="E1647" s="18"/>
      <c r="G1647" s="19"/>
      <c r="H1647" s="18"/>
    </row>
    <row r="1648" ht="15.75" customHeight="1">
      <c r="E1648" s="18"/>
      <c r="G1648" s="19"/>
      <c r="H1648" s="18"/>
    </row>
    <row r="1649" ht="15.75" customHeight="1">
      <c r="E1649" s="18"/>
      <c r="G1649" s="19"/>
      <c r="H1649" s="18"/>
    </row>
    <row r="1650" ht="15.75" customHeight="1">
      <c r="E1650" s="18"/>
      <c r="G1650" s="19"/>
      <c r="H1650" s="18"/>
    </row>
    <row r="1651" ht="15.75" customHeight="1">
      <c r="E1651" s="18"/>
      <c r="G1651" s="19"/>
      <c r="H1651" s="18"/>
    </row>
    <row r="1652" ht="15.75" customHeight="1">
      <c r="E1652" s="18"/>
      <c r="G1652" s="19"/>
      <c r="H1652" s="18"/>
    </row>
    <row r="1653" ht="15.75" customHeight="1">
      <c r="E1653" s="18"/>
      <c r="G1653" s="19"/>
      <c r="H1653" s="18"/>
    </row>
    <row r="1654" ht="15.75" customHeight="1">
      <c r="E1654" s="18"/>
      <c r="G1654" s="19"/>
      <c r="H1654" s="18"/>
    </row>
    <row r="1655" ht="15.75" customHeight="1">
      <c r="E1655" s="18"/>
      <c r="G1655" s="19"/>
      <c r="H1655" s="18"/>
    </row>
    <row r="1656" ht="15.75" customHeight="1">
      <c r="E1656" s="18"/>
      <c r="G1656" s="19"/>
      <c r="H1656" s="18"/>
    </row>
    <row r="1657" ht="15.75" customHeight="1">
      <c r="E1657" s="18"/>
      <c r="G1657" s="19"/>
      <c r="H1657" s="18"/>
    </row>
    <row r="1658" ht="15.75" customHeight="1">
      <c r="E1658" s="18"/>
      <c r="G1658" s="19"/>
      <c r="H1658" s="18"/>
    </row>
    <row r="1659" ht="15.75" customHeight="1">
      <c r="E1659" s="18"/>
      <c r="G1659" s="19"/>
      <c r="H1659" s="18"/>
    </row>
    <row r="1660" ht="15.75" customHeight="1">
      <c r="E1660" s="18"/>
      <c r="G1660" s="19"/>
      <c r="H1660" s="18"/>
    </row>
    <row r="1661" ht="15.75" customHeight="1">
      <c r="E1661" s="18"/>
      <c r="G1661" s="19"/>
      <c r="H1661" s="18"/>
    </row>
    <row r="1662" ht="15.75" customHeight="1">
      <c r="E1662" s="18"/>
      <c r="G1662" s="19"/>
      <c r="H1662" s="18"/>
    </row>
    <row r="1663" ht="15.75" customHeight="1">
      <c r="E1663" s="18"/>
      <c r="G1663" s="19"/>
      <c r="H1663" s="18"/>
    </row>
    <row r="1664" ht="15.75" customHeight="1">
      <c r="E1664" s="18"/>
      <c r="G1664" s="19"/>
      <c r="H1664" s="18"/>
    </row>
    <row r="1665" ht="15.75" customHeight="1">
      <c r="E1665" s="18"/>
      <c r="G1665" s="19"/>
      <c r="H1665" s="18"/>
    </row>
    <row r="1666" ht="15.75" customHeight="1">
      <c r="E1666" s="18"/>
      <c r="G1666" s="19"/>
      <c r="H1666" s="18"/>
    </row>
    <row r="1667" ht="15.75" customHeight="1">
      <c r="E1667" s="18"/>
      <c r="G1667" s="19"/>
      <c r="H1667" s="18"/>
    </row>
    <row r="1668" ht="15.75" customHeight="1">
      <c r="E1668" s="18"/>
      <c r="G1668" s="19"/>
      <c r="H1668" s="18"/>
    </row>
    <row r="1669" ht="15.75" customHeight="1">
      <c r="E1669" s="18"/>
      <c r="G1669" s="19"/>
      <c r="H1669" s="18"/>
    </row>
    <row r="1670" ht="15.75" customHeight="1">
      <c r="E1670" s="18"/>
      <c r="G1670" s="19"/>
      <c r="H1670" s="18"/>
    </row>
    <row r="1671" ht="15.75" customHeight="1">
      <c r="E1671" s="18"/>
      <c r="G1671" s="19"/>
      <c r="H1671" s="18"/>
    </row>
    <row r="1672" ht="15.75" customHeight="1">
      <c r="E1672" s="18"/>
      <c r="G1672" s="19"/>
      <c r="H1672" s="18"/>
    </row>
    <row r="1673" ht="15.75" customHeight="1">
      <c r="E1673" s="18"/>
      <c r="G1673" s="19"/>
      <c r="H1673" s="18"/>
    </row>
    <row r="1674" ht="15.75" customHeight="1">
      <c r="E1674" s="18"/>
      <c r="G1674" s="19"/>
      <c r="H1674" s="18"/>
    </row>
    <row r="1675" ht="15.75" customHeight="1">
      <c r="E1675" s="18"/>
      <c r="G1675" s="19"/>
      <c r="H1675" s="18"/>
    </row>
    <row r="1676" ht="15.75" customHeight="1">
      <c r="E1676" s="18"/>
      <c r="G1676" s="19"/>
      <c r="H1676" s="18"/>
    </row>
    <row r="1677" ht="15.75" customHeight="1">
      <c r="E1677" s="18"/>
      <c r="G1677" s="19"/>
      <c r="H1677" s="18"/>
    </row>
    <row r="1678" ht="15.75" customHeight="1">
      <c r="E1678" s="18"/>
      <c r="G1678" s="19"/>
      <c r="H1678" s="18"/>
    </row>
    <row r="1679" ht="15.75" customHeight="1">
      <c r="E1679" s="18"/>
      <c r="G1679" s="19"/>
      <c r="H1679" s="18"/>
    </row>
    <row r="1680" ht="15.75" customHeight="1">
      <c r="E1680" s="18"/>
      <c r="G1680" s="19"/>
      <c r="H1680" s="18"/>
    </row>
    <row r="1681" ht="15.75" customHeight="1">
      <c r="E1681" s="18"/>
      <c r="G1681" s="19"/>
      <c r="H1681" s="18"/>
    </row>
    <row r="1682" ht="15.75" customHeight="1">
      <c r="E1682" s="18"/>
      <c r="G1682" s="19"/>
      <c r="H1682" s="18"/>
    </row>
    <row r="1683" ht="15.75" customHeight="1">
      <c r="E1683" s="18"/>
      <c r="G1683" s="19"/>
      <c r="H1683" s="18"/>
    </row>
    <row r="1684" ht="15.75" customHeight="1">
      <c r="E1684" s="18"/>
      <c r="G1684" s="19"/>
      <c r="H1684" s="18"/>
    </row>
    <row r="1685" ht="15.75" customHeight="1">
      <c r="E1685" s="18"/>
      <c r="G1685" s="19"/>
      <c r="H1685" s="18"/>
    </row>
    <row r="1686" ht="15.75" customHeight="1">
      <c r="E1686" s="18"/>
      <c r="G1686" s="19"/>
      <c r="H1686" s="18"/>
    </row>
    <row r="1687" ht="15.75" customHeight="1">
      <c r="E1687" s="18"/>
      <c r="G1687" s="19"/>
      <c r="H1687" s="18"/>
    </row>
    <row r="1688" ht="15.75" customHeight="1">
      <c r="E1688" s="18"/>
      <c r="G1688" s="19"/>
      <c r="H1688" s="18"/>
    </row>
    <row r="1689" ht="15.75" customHeight="1">
      <c r="E1689" s="18"/>
      <c r="G1689" s="19"/>
      <c r="H1689" s="18"/>
    </row>
    <row r="1690" ht="15.75" customHeight="1">
      <c r="E1690" s="18"/>
      <c r="G1690" s="19"/>
      <c r="H1690" s="18"/>
    </row>
    <row r="1691" ht="15.75" customHeight="1">
      <c r="E1691" s="18"/>
      <c r="G1691" s="19"/>
      <c r="H1691" s="18"/>
    </row>
    <row r="1692" ht="15.75" customHeight="1">
      <c r="E1692" s="18"/>
      <c r="G1692" s="19"/>
      <c r="H1692" s="18"/>
    </row>
    <row r="1693" ht="15.75" customHeight="1">
      <c r="E1693" s="18"/>
      <c r="G1693" s="19"/>
      <c r="H1693" s="18"/>
    </row>
    <row r="1694" ht="15.75" customHeight="1">
      <c r="E1694" s="18"/>
      <c r="G1694" s="19"/>
      <c r="H1694" s="18"/>
    </row>
    <row r="1695" ht="15.75" customHeight="1">
      <c r="E1695" s="18"/>
      <c r="G1695" s="19"/>
      <c r="H1695" s="18"/>
    </row>
    <row r="1696" ht="15.75" customHeight="1">
      <c r="E1696" s="18"/>
      <c r="G1696" s="19"/>
      <c r="H1696" s="18"/>
    </row>
    <row r="1697" ht="15.75" customHeight="1">
      <c r="E1697" s="18"/>
      <c r="G1697" s="19"/>
      <c r="H1697" s="18"/>
    </row>
    <row r="1698" ht="15.75" customHeight="1">
      <c r="E1698" s="18"/>
      <c r="G1698" s="19"/>
      <c r="H1698" s="18"/>
    </row>
    <row r="1699" ht="15.75" customHeight="1">
      <c r="E1699" s="18"/>
      <c r="G1699" s="19"/>
      <c r="H1699" s="18"/>
    </row>
    <row r="1700" ht="15.75" customHeight="1">
      <c r="E1700" s="18"/>
      <c r="G1700" s="19"/>
      <c r="H1700" s="18"/>
    </row>
    <row r="1701" ht="15.75" customHeight="1">
      <c r="E1701" s="18"/>
      <c r="G1701" s="19"/>
      <c r="H1701" s="18"/>
    </row>
    <row r="1702" ht="15.75" customHeight="1">
      <c r="E1702" s="18"/>
      <c r="G1702" s="19"/>
      <c r="H1702" s="18"/>
    </row>
    <row r="1703" ht="15.75" customHeight="1">
      <c r="E1703" s="18"/>
      <c r="G1703" s="19"/>
      <c r="H1703" s="18"/>
    </row>
    <row r="1704" ht="15.75" customHeight="1">
      <c r="E1704" s="18"/>
      <c r="G1704" s="19"/>
      <c r="H1704" s="18"/>
    </row>
    <row r="1705" ht="15.75" customHeight="1">
      <c r="E1705" s="18"/>
      <c r="G1705" s="19"/>
      <c r="H1705" s="18"/>
    </row>
    <row r="1706" ht="15.75" customHeight="1">
      <c r="E1706" s="18"/>
      <c r="G1706" s="19"/>
      <c r="H1706" s="18"/>
    </row>
    <row r="1707" ht="15.75" customHeight="1">
      <c r="E1707" s="18"/>
      <c r="G1707" s="19"/>
      <c r="H1707" s="18"/>
    </row>
    <row r="1708" ht="15.75" customHeight="1">
      <c r="E1708" s="18"/>
      <c r="G1708" s="19"/>
      <c r="H1708" s="18"/>
    </row>
    <row r="1709" ht="15.75" customHeight="1">
      <c r="E1709" s="18"/>
      <c r="G1709" s="19"/>
      <c r="H1709" s="18"/>
    </row>
    <row r="1710" ht="15.75" customHeight="1">
      <c r="E1710" s="18"/>
      <c r="G1710" s="19"/>
      <c r="H1710" s="18"/>
    </row>
    <row r="1711" ht="15.75" customHeight="1">
      <c r="E1711" s="18"/>
      <c r="G1711" s="19"/>
      <c r="H1711" s="18"/>
    </row>
    <row r="1712" ht="15.75" customHeight="1">
      <c r="E1712" s="18"/>
      <c r="G1712" s="19"/>
      <c r="H1712" s="18"/>
    </row>
    <row r="1713" ht="15.75" customHeight="1">
      <c r="E1713" s="18"/>
      <c r="G1713" s="19"/>
      <c r="H1713" s="18"/>
    </row>
    <row r="1714" ht="15.75" customHeight="1">
      <c r="E1714" s="18"/>
      <c r="G1714" s="19"/>
      <c r="H1714" s="18"/>
    </row>
    <row r="1715" ht="15.75" customHeight="1">
      <c r="E1715" s="18"/>
      <c r="G1715" s="19"/>
      <c r="H1715" s="18"/>
    </row>
    <row r="1716" ht="15.75" customHeight="1">
      <c r="E1716" s="18"/>
      <c r="G1716" s="19"/>
      <c r="H1716" s="18"/>
    </row>
    <row r="1717" ht="15.75" customHeight="1">
      <c r="E1717" s="18"/>
      <c r="G1717" s="19"/>
      <c r="H1717" s="18"/>
    </row>
    <row r="1718" ht="15.75" customHeight="1">
      <c r="E1718" s="18"/>
      <c r="G1718" s="19"/>
      <c r="H1718" s="18"/>
    </row>
    <row r="1719" ht="15.75" customHeight="1">
      <c r="E1719" s="18"/>
      <c r="G1719" s="19"/>
      <c r="H1719" s="18"/>
    </row>
    <row r="1720" ht="15.75" customHeight="1">
      <c r="E1720" s="18"/>
      <c r="G1720" s="19"/>
      <c r="H1720" s="18"/>
    </row>
    <row r="1721" ht="15.75" customHeight="1">
      <c r="E1721" s="18"/>
      <c r="G1721" s="19"/>
      <c r="H1721" s="18"/>
    </row>
    <row r="1722" ht="15.75" customHeight="1">
      <c r="E1722" s="18"/>
      <c r="G1722" s="19"/>
      <c r="H1722" s="18"/>
    </row>
    <row r="1723" ht="15.75" customHeight="1">
      <c r="E1723" s="18"/>
      <c r="G1723" s="19"/>
      <c r="H1723" s="18"/>
    </row>
    <row r="1724" ht="15.75" customHeight="1">
      <c r="E1724" s="18"/>
      <c r="G1724" s="19"/>
      <c r="H1724" s="18"/>
    </row>
    <row r="1725" ht="15.75" customHeight="1">
      <c r="E1725" s="18"/>
      <c r="G1725" s="19"/>
      <c r="H1725" s="18"/>
    </row>
    <row r="1726" ht="15.75" customHeight="1">
      <c r="E1726" s="18"/>
      <c r="G1726" s="19"/>
      <c r="H1726" s="18"/>
    </row>
    <row r="1727" ht="15.75" customHeight="1">
      <c r="E1727" s="18"/>
      <c r="G1727" s="19"/>
      <c r="H1727" s="18"/>
    </row>
    <row r="1728" ht="15.75" customHeight="1">
      <c r="E1728" s="18"/>
      <c r="G1728" s="19"/>
      <c r="H1728" s="18"/>
    </row>
    <row r="1729" ht="15.75" customHeight="1">
      <c r="E1729" s="18"/>
      <c r="G1729" s="19"/>
      <c r="H1729" s="18"/>
    </row>
    <row r="1730" ht="15.75" customHeight="1">
      <c r="E1730" s="18"/>
      <c r="G1730" s="19"/>
      <c r="H1730" s="18"/>
    </row>
    <row r="1731" ht="15.75" customHeight="1">
      <c r="E1731" s="18"/>
      <c r="G1731" s="19"/>
      <c r="H1731" s="18"/>
    </row>
    <row r="1732" ht="15.75" customHeight="1">
      <c r="E1732" s="18"/>
      <c r="G1732" s="19"/>
      <c r="H1732" s="18"/>
    </row>
    <row r="1733" ht="15.75" customHeight="1">
      <c r="E1733" s="18"/>
      <c r="G1733" s="19"/>
      <c r="H1733" s="18"/>
    </row>
    <row r="1734" ht="15.75" customHeight="1">
      <c r="E1734" s="18"/>
      <c r="G1734" s="19"/>
      <c r="H1734" s="18"/>
    </row>
    <row r="1735" ht="15.75" customHeight="1">
      <c r="E1735" s="18"/>
      <c r="G1735" s="19"/>
      <c r="H1735" s="18"/>
    </row>
    <row r="1736" ht="15.75" customHeight="1">
      <c r="E1736" s="18"/>
      <c r="G1736" s="19"/>
      <c r="H1736" s="18"/>
    </row>
    <row r="1737" ht="15.75" customHeight="1">
      <c r="E1737" s="18"/>
      <c r="G1737" s="19"/>
      <c r="H1737" s="18"/>
    </row>
    <row r="1738" ht="15.75" customHeight="1">
      <c r="E1738" s="18"/>
      <c r="G1738" s="19"/>
      <c r="H1738" s="18"/>
    </row>
    <row r="1739" ht="15.75" customHeight="1">
      <c r="E1739" s="18"/>
      <c r="G1739" s="19"/>
      <c r="H1739" s="18"/>
    </row>
    <row r="1740" ht="15.75" customHeight="1">
      <c r="E1740" s="18"/>
      <c r="G1740" s="19"/>
      <c r="H1740" s="18"/>
    </row>
    <row r="1741" ht="15.75" customHeight="1">
      <c r="E1741" s="18"/>
      <c r="G1741" s="19"/>
      <c r="H1741" s="18"/>
    </row>
    <row r="1742" ht="15.75" customHeight="1">
      <c r="E1742" s="18"/>
      <c r="G1742" s="19"/>
      <c r="H1742" s="18"/>
    </row>
    <row r="1743" ht="15.75" customHeight="1">
      <c r="E1743" s="18"/>
      <c r="G1743" s="19"/>
      <c r="H1743" s="18"/>
    </row>
    <row r="1744" ht="15.75" customHeight="1">
      <c r="E1744" s="18"/>
      <c r="G1744" s="19"/>
      <c r="H1744" s="18"/>
    </row>
    <row r="1745" ht="15.75" customHeight="1">
      <c r="E1745" s="18"/>
      <c r="G1745" s="19"/>
      <c r="H1745" s="18"/>
    </row>
    <row r="1746" ht="15.75" customHeight="1">
      <c r="E1746" s="18"/>
      <c r="G1746" s="19"/>
      <c r="H1746" s="18"/>
    </row>
    <row r="1747" ht="15.75" customHeight="1">
      <c r="E1747" s="18"/>
      <c r="G1747" s="19"/>
      <c r="H1747" s="18"/>
    </row>
    <row r="1748" ht="15.75" customHeight="1">
      <c r="E1748" s="18"/>
      <c r="G1748" s="19"/>
      <c r="H1748" s="18"/>
    </row>
    <row r="1749" ht="15.75" customHeight="1">
      <c r="E1749" s="18"/>
      <c r="G1749" s="19"/>
      <c r="H1749" s="18"/>
    </row>
    <row r="1750" ht="15.75" customHeight="1">
      <c r="E1750" s="18"/>
      <c r="G1750" s="19"/>
      <c r="H1750" s="18"/>
    </row>
    <row r="1751" ht="15.75" customHeight="1">
      <c r="E1751" s="18"/>
      <c r="G1751" s="19"/>
      <c r="H1751" s="18"/>
    </row>
    <row r="1752" ht="15.75" customHeight="1">
      <c r="E1752" s="18"/>
      <c r="G1752" s="19"/>
      <c r="H1752" s="18"/>
    </row>
    <row r="1753" ht="15.75" customHeight="1">
      <c r="E1753" s="18"/>
      <c r="G1753" s="19"/>
      <c r="H1753" s="18"/>
    </row>
    <row r="1754" ht="15.75" customHeight="1">
      <c r="E1754" s="18"/>
      <c r="G1754" s="19"/>
      <c r="H1754" s="18"/>
    </row>
    <row r="1755" ht="15.75" customHeight="1">
      <c r="E1755" s="18"/>
      <c r="G1755" s="19"/>
      <c r="H1755" s="18"/>
    </row>
    <row r="1756" ht="15.75" customHeight="1">
      <c r="E1756" s="18"/>
      <c r="G1756" s="19"/>
      <c r="H1756" s="18"/>
    </row>
    <row r="1757" ht="15.75" customHeight="1">
      <c r="E1757" s="18"/>
      <c r="G1757" s="19"/>
      <c r="H1757" s="18"/>
    </row>
    <row r="1758" ht="15.75" customHeight="1">
      <c r="E1758" s="18"/>
      <c r="G1758" s="19"/>
      <c r="H1758" s="18"/>
    </row>
    <row r="1759" ht="15.75" customHeight="1">
      <c r="E1759" s="18"/>
      <c r="G1759" s="19"/>
      <c r="H1759" s="18"/>
    </row>
    <row r="1760" ht="15.75" customHeight="1">
      <c r="E1760" s="18"/>
      <c r="G1760" s="19"/>
      <c r="H1760" s="18"/>
    </row>
    <row r="1761" ht="15.75" customHeight="1">
      <c r="E1761" s="18"/>
      <c r="G1761" s="19"/>
      <c r="H1761" s="18"/>
    </row>
    <row r="1762" ht="15.75" customHeight="1">
      <c r="E1762" s="18"/>
      <c r="G1762" s="19"/>
      <c r="H1762" s="18"/>
    </row>
    <row r="1763" ht="15.75" customHeight="1">
      <c r="E1763" s="18"/>
      <c r="G1763" s="19"/>
      <c r="H1763" s="18"/>
    </row>
    <row r="1764" ht="15.75" customHeight="1">
      <c r="E1764" s="18"/>
      <c r="G1764" s="19"/>
      <c r="H1764" s="18"/>
    </row>
    <row r="1765" ht="15.75" customHeight="1">
      <c r="E1765" s="18"/>
      <c r="G1765" s="19"/>
      <c r="H1765" s="18"/>
    </row>
    <row r="1766" ht="15.75" customHeight="1">
      <c r="E1766" s="18"/>
      <c r="G1766" s="19"/>
      <c r="H1766" s="18"/>
    </row>
    <row r="1767" ht="15.75" customHeight="1">
      <c r="E1767" s="18"/>
      <c r="G1767" s="19"/>
      <c r="H1767" s="18"/>
    </row>
    <row r="1768" ht="15.75" customHeight="1">
      <c r="E1768" s="18"/>
      <c r="G1768" s="19"/>
      <c r="H1768" s="18"/>
    </row>
    <row r="1769" ht="15.75" customHeight="1">
      <c r="E1769" s="18"/>
      <c r="G1769" s="19"/>
      <c r="H1769" s="18"/>
    </row>
    <row r="1770" ht="15.75" customHeight="1">
      <c r="E1770" s="18"/>
      <c r="G1770" s="19"/>
      <c r="H1770" s="18"/>
    </row>
    <row r="1771" ht="15.75" customHeight="1">
      <c r="E1771" s="18"/>
      <c r="G1771" s="19"/>
      <c r="H1771" s="18"/>
    </row>
    <row r="1772" ht="15.75" customHeight="1">
      <c r="E1772" s="18"/>
      <c r="G1772" s="19"/>
      <c r="H1772" s="18"/>
    </row>
    <row r="1773" ht="15.75" customHeight="1">
      <c r="E1773" s="18"/>
      <c r="G1773" s="19"/>
      <c r="H1773" s="18"/>
    </row>
    <row r="1774" ht="15.75" customHeight="1">
      <c r="E1774" s="18"/>
      <c r="G1774" s="19"/>
      <c r="H1774" s="18"/>
    </row>
    <row r="1775" ht="15.75" customHeight="1">
      <c r="E1775" s="18"/>
      <c r="G1775" s="19"/>
      <c r="H1775" s="18"/>
    </row>
    <row r="1776" ht="15.75" customHeight="1">
      <c r="E1776" s="18"/>
      <c r="G1776" s="19"/>
      <c r="H1776" s="18"/>
    </row>
    <row r="1777" ht="15.75" customHeight="1">
      <c r="E1777" s="18"/>
      <c r="G1777" s="19"/>
      <c r="H1777" s="18"/>
    </row>
    <row r="1778" ht="15.75" customHeight="1">
      <c r="E1778" s="18"/>
      <c r="G1778" s="19"/>
      <c r="H1778" s="18"/>
    </row>
    <row r="1779" ht="15.75" customHeight="1">
      <c r="E1779" s="18"/>
      <c r="G1779" s="19"/>
      <c r="H1779" s="18"/>
    </row>
    <row r="1780" ht="15.75" customHeight="1">
      <c r="E1780" s="18"/>
      <c r="G1780" s="19"/>
      <c r="H1780" s="18"/>
    </row>
    <row r="1781" ht="15.75" customHeight="1">
      <c r="E1781" s="18"/>
      <c r="G1781" s="19"/>
      <c r="H1781" s="18"/>
    </row>
    <row r="1782" ht="15.75" customHeight="1">
      <c r="E1782" s="18"/>
      <c r="G1782" s="19"/>
      <c r="H1782" s="18"/>
    </row>
    <row r="1783" ht="15.75" customHeight="1">
      <c r="E1783" s="18"/>
      <c r="G1783" s="19"/>
      <c r="H1783" s="18"/>
    </row>
    <row r="1784" ht="15.75" customHeight="1">
      <c r="E1784" s="18"/>
      <c r="G1784" s="19"/>
      <c r="H1784" s="18"/>
    </row>
    <row r="1785" ht="15.75" customHeight="1">
      <c r="E1785" s="18"/>
      <c r="G1785" s="19"/>
      <c r="H1785" s="18"/>
    </row>
    <row r="1786" ht="15.75" customHeight="1">
      <c r="E1786" s="18"/>
      <c r="G1786" s="19"/>
      <c r="H1786" s="18"/>
    </row>
    <row r="1787" ht="15.75" customHeight="1">
      <c r="E1787" s="18"/>
      <c r="G1787" s="19"/>
      <c r="H1787" s="18"/>
    </row>
    <row r="1788" ht="15.75" customHeight="1">
      <c r="E1788" s="18"/>
      <c r="G1788" s="19"/>
      <c r="H1788" s="18"/>
    </row>
    <row r="1789" ht="15.75" customHeight="1">
      <c r="E1789" s="18"/>
      <c r="G1789" s="19"/>
      <c r="H1789" s="18"/>
    </row>
    <row r="1790" ht="15.75" customHeight="1">
      <c r="E1790" s="18"/>
      <c r="G1790" s="19"/>
      <c r="H1790" s="18"/>
    </row>
    <row r="1791" ht="15.75" customHeight="1">
      <c r="E1791" s="18"/>
      <c r="G1791" s="19"/>
      <c r="H1791" s="18"/>
    </row>
    <row r="1792" ht="15.75" customHeight="1">
      <c r="E1792" s="18"/>
      <c r="G1792" s="19"/>
      <c r="H1792" s="18"/>
    </row>
    <row r="1793" ht="15.75" customHeight="1">
      <c r="E1793" s="18"/>
      <c r="G1793" s="19"/>
      <c r="H1793" s="18"/>
    </row>
    <row r="1794" ht="15.75" customHeight="1">
      <c r="E1794" s="18"/>
      <c r="G1794" s="19"/>
      <c r="H1794" s="18"/>
    </row>
    <row r="1795" ht="15.75" customHeight="1">
      <c r="E1795" s="18"/>
      <c r="G1795" s="19"/>
      <c r="H1795" s="18"/>
    </row>
    <row r="1796" ht="15.75" customHeight="1">
      <c r="E1796" s="18"/>
      <c r="G1796" s="19"/>
      <c r="H1796" s="18"/>
    </row>
    <row r="1797" ht="15.75" customHeight="1">
      <c r="E1797" s="18"/>
      <c r="G1797" s="19"/>
      <c r="H1797" s="18"/>
    </row>
    <row r="1798" ht="15.75" customHeight="1">
      <c r="E1798" s="18"/>
      <c r="G1798" s="19"/>
      <c r="H1798" s="18"/>
    </row>
    <row r="1799" ht="15.75" customHeight="1">
      <c r="E1799" s="18"/>
      <c r="G1799" s="19"/>
      <c r="H1799" s="18"/>
    </row>
    <row r="1800" ht="15.75" customHeight="1">
      <c r="E1800" s="18"/>
      <c r="G1800" s="19"/>
      <c r="H1800" s="18"/>
    </row>
    <row r="1801" ht="15.75" customHeight="1">
      <c r="E1801" s="18"/>
      <c r="G1801" s="19"/>
      <c r="H1801" s="18"/>
    </row>
    <row r="1802" ht="15.75" customHeight="1">
      <c r="E1802" s="18"/>
      <c r="G1802" s="19"/>
      <c r="H1802" s="18"/>
    </row>
    <row r="1803" ht="15.75" customHeight="1">
      <c r="E1803" s="18"/>
      <c r="G1803" s="19"/>
      <c r="H1803" s="18"/>
    </row>
    <row r="1804" ht="15.75" customHeight="1">
      <c r="E1804" s="18"/>
      <c r="G1804" s="19"/>
      <c r="H1804" s="18"/>
    </row>
    <row r="1805" ht="15.75" customHeight="1">
      <c r="E1805" s="18"/>
      <c r="G1805" s="19"/>
      <c r="H1805" s="18"/>
    </row>
    <row r="1806" ht="15.75" customHeight="1">
      <c r="E1806" s="18"/>
      <c r="G1806" s="19"/>
      <c r="H1806" s="18"/>
    </row>
    <row r="1807" ht="15.75" customHeight="1">
      <c r="E1807" s="18"/>
      <c r="G1807" s="19"/>
      <c r="H1807" s="18"/>
    </row>
    <row r="1808" ht="15.75" customHeight="1">
      <c r="E1808" s="18"/>
      <c r="G1808" s="19"/>
      <c r="H1808" s="18"/>
    </row>
    <row r="1809" ht="15.75" customHeight="1">
      <c r="E1809" s="18"/>
      <c r="G1809" s="19"/>
      <c r="H1809" s="18"/>
    </row>
    <row r="1810" ht="15.75" customHeight="1">
      <c r="E1810" s="18"/>
      <c r="G1810" s="19"/>
      <c r="H1810" s="18"/>
    </row>
    <row r="1811" ht="15.75" customHeight="1">
      <c r="E1811" s="18"/>
      <c r="G1811" s="19"/>
      <c r="H1811" s="18"/>
    </row>
    <row r="1812" ht="15.75" customHeight="1">
      <c r="E1812" s="18"/>
      <c r="G1812" s="19"/>
      <c r="H1812" s="18"/>
    </row>
    <row r="1813" ht="15.75" customHeight="1">
      <c r="E1813" s="18"/>
      <c r="G1813" s="19"/>
      <c r="H1813" s="18"/>
    </row>
    <row r="1814" ht="15.75" customHeight="1">
      <c r="E1814" s="18"/>
      <c r="G1814" s="19"/>
      <c r="H1814" s="18"/>
    </row>
    <row r="1815" ht="15.75" customHeight="1">
      <c r="E1815" s="18"/>
      <c r="G1815" s="19"/>
      <c r="H1815" s="18"/>
    </row>
    <row r="1816" ht="15.75" customHeight="1">
      <c r="E1816" s="18"/>
      <c r="G1816" s="19"/>
      <c r="H1816" s="18"/>
    </row>
    <row r="1817" ht="15.75" customHeight="1">
      <c r="E1817" s="18"/>
      <c r="G1817" s="19"/>
      <c r="H1817" s="18"/>
    </row>
    <row r="1818" ht="15.75" customHeight="1">
      <c r="E1818" s="18"/>
      <c r="G1818" s="19"/>
      <c r="H1818" s="18"/>
    </row>
    <row r="1819" ht="15.75" customHeight="1">
      <c r="E1819" s="18"/>
      <c r="G1819" s="19"/>
      <c r="H1819" s="18"/>
    </row>
    <row r="1820" ht="15.75" customHeight="1">
      <c r="E1820" s="18"/>
      <c r="G1820" s="19"/>
      <c r="H1820" s="18"/>
    </row>
    <row r="1821" ht="15.75" customHeight="1">
      <c r="E1821" s="18"/>
      <c r="G1821" s="19"/>
      <c r="H1821" s="18"/>
    </row>
    <row r="1822" ht="15.75" customHeight="1">
      <c r="E1822" s="18"/>
      <c r="G1822" s="19"/>
      <c r="H1822" s="18"/>
    </row>
    <row r="1823" ht="15.75" customHeight="1">
      <c r="E1823" s="18"/>
      <c r="G1823" s="19"/>
      <c r="H1823" s="18"/>
    </row>
    <row r="1824" ht="15.75" customHeight="1">
      <c r="E1824" s="18"/>
      <c r="G1824" s="19"/>
      <c r="H1824" s="18"/>
    </row>
    <row r="1825" ht="15.75" customHeight="1">
      <c r="E1825" s="18"/>
      <c r="G1825" s="19"/>
      <c r="H1825" s="18"/>
    </row>
    <row r="1826" ht="15.75" customHeight="1">
      <c r="E1826" s="18"/>
      <c r="G1826" s="19"/>
      <c r="H1826" s="18"/>
    </row>
    <row r="1827" ht="15.75" customHeight="1">
      <c r="E1827" s="18"/>
      <c r="G1827" s="19"/>
      <c r="H1827" s="18"/>
    </row>
  </sheetData>
  <dataValidations>
    <dataValidation type="list" allowBlank="1" sqref="D2:D27">
      <formula1>"Activo,Finalizado,Cancelado"</formula1>
    </dataValidation>
    <dataValidation type="custom" allowBlank="1" showDropDown="1" sqref="A2:A27">
      <formula1>OR(NOT(ISERROR(DATEVALUE(A2))), AND(ISNUMBER(A2), LEFT(CELL("format", A2))="D"))</formula1>
    </dataValidation>
    <dataValidation type="custom" allowBlank="1" showDropDown="1" sqref="E2:F27 H2:I27">
      <formula1>AND(ISNUMBER(E2),(NOT(OR(NOT(ISERROR(DATEVALUE(E2))), AND(ISNUMBER(E2), LEFT(CELL("format", E2))="D")))))</formula1>
    </dataValidation>
    <dataValidation type="list" allowBlank="1" sqref="G2:G27">
      <formula1>"Adelanto,Pago final,Recurrente"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24.43"/>
    <col customWidth="1" min="3" max="3" width="19.14"/>
    <col customWidth="1" min="4" max="4" width="25.86"/>
    <col customWidth="1" min="5" max="5" width="19.86"/>
    <col customWidth="1" min="6" max="6" width="16.0"/>
    <col customWidth="1" min="7" max="7" width="20.57"/>
    <col customWidth="1" min="8" max="8" width="25.0"/>
    <col customWidth="1" min="9" max="26" width="8.71"/>
  </cols>
  <sheetData>
    <row r="1" ht="22.5" customHeight="1">
      <c r="A1" s="1" t="s">
        <v>0</v>
      </c>
      <c r="B1" s="1" t="s">
        <v>46</v>
      </c>
      <c r="C1" s="1" t="s">
        <v>47</v>
      </c>
      <c r="D1" s="1" t="s">
        <v>48</v>
      </c>
      <c r="E1" s="1" t="s">
        <v>3</v>
      </c>
      <c r="F1" s="1" t="s">
        <v>4</v>
      </c>
      <c r="G1" s="2" t="s">
        <v>5</v>
      </c>
      <c r="H1" s="1" t="s">
        <v>9</v>
      </c>
      <c r="J1" s="20"/>
      <c r="K1" s="20"/>
      <c r="L1" s="20"/>
      <c r="M1" s="20"/>
      <c r="N1" s="20"/>
      <c r="O1" s="20"/>
      <c r="P1" s="20"/>
      <c r="Q1" s="20"/>
    </row>
    <row r="2" ht="22.5" customHeight="1">
      <c r="A2" s="3">
        <v>45937.0</v>
      </c>
      <c r="B2" s="6" t="s">
        <v>49</v>
      </c>
      <c r="C2" s="6" t="s">
        <v>50</v>
      </c>
      <c r="E2" s="21"/>
      <c r="F2" s="7">
        <v>21600.0</v>
      </c>
      <c r="G2" s="22">
        <v>15.0</v>
      </c>
      <c r="H2" s="4" t="s">
        <v>51</v>
      </c>
      <c r="J2" s="23"/>
      <c r="K2" s="20"/>
      <c r="L2" s="20"/>
      <c r="M2" s="20"/>
      <c r="N2" s="24"/>
      <c r="O2" s="20"/>
      <c r="P2" s="25"/>
      <c r="Q2" s="20"/>
    </row>
    <row r="3" ht="22.5" customHeight="1">
      <c r="A3" s="3">
        <v>45937.0</v>
      </c>
      <c r="B3" s="6" t="s">
        <v>52</v>
      </c>
      <c r="C3" s="6" t="s">
        <v>53</v>
      </c>
      <c r="E3" s="21"/>
      <c r="F3" s="7">
        <v>28800.0</v>
      </c>
      <c r="G3" s="22">
        <v>20.0</v>
      </c>
      <c r="H3" s="4" t="s">
        <v>54</v>
      </c>
      <c r="J3" s="23"/>
      <c r="K3" s="20"/>
      <c r="L3" s="20"/>
      <c r="M3" s="20"/>
      <c r="N3" s="20"/>
      <c r="O3" s="25"/>
      <c r="P3" s="25"/>
      <c r="Q3" s="20"/>
    </row>
    <row r="4" ht="22.5" customHeight="1">
      <c r="A4" s="3">
        <v>45937.0</v>
      </c>
      <c r="B4" s="6" t="s">
        <v>52</v>
      </c>
      <c r="C4" s="6" t="s">
        <v>53</v>
      </c>
      <c r="E4" s="21"/>
      <c r="F4" s="7">
        <v>28800.0</v>
      </c>
      <c r="G4" s="22">
        <v>20.0</v>
      </c>
      <c r="H4" s="4" t="s">
        <v>55</v>
      </c>
      <c r="J4" s="23"/>
      <c r="K4" s="20"/>
      <c r="L4" s="20"/>
      <c r="M4" s="20"/>
      <c r="N4" s="20"/>
      <c r="O4" s="25"/>
      <c r="P4" s="25"/>
      <c r="Q4" s="20"/>
    </row>
    <row r="5" ht="22.5" customHeight="1">
      <c r="A5" s="3">
        <v>45937.0</v>
      </c>
      <c r="B5" s="6" t="s">
        <v>49</v>
      </c>
      <c r="C5" s="6" t="s">
        <v>56</v>
      </c>
      <c r="E5" s="21"/>
      <c r="F5" s="7">
        <v>28800.0</v>
      </c>
      <c r="G5" s="22">
        <v>20.0</v>
      </c>
      <c r="H5" s="4" t="s">
        <v>57</v>
      </c>
      <c r="J5" s="23"/>
      <c r="K5" s="20"/>
      <c r="L5" s="20"/>
      <c r="M5" s="20"/>
      <c r="N5" s="20"/>
      <c r="O5" s="25"/>
      <c r="P5" s="25"/>
      <c r="Q5" s="20"/>
    </row>
    <row r="6" ht="22.5" customHeight="1">
      <c r="A6" s="3">
        <v>45932.0</v>
      </c>
      <c r="B6" s="6" t="s">
        <v>52</v>
      </c>
      <c r="C6" s="6" t="s">
        <v>58</v>
      </c>
      <c r="E6" s="21"/>
      <c r="F6" s="7">
        <v>150000.0</v>
      </c>
      <c r="G6" s="22">
        <v>101.69</v>
      </c>
      <c r="H6" s="4" t="s">
        <v>59</v>
      </c>
      <c r="J6" s="23"/>
      <c r="K6" s="20"/>
      <c r="L6" s="20"/>
      <c r="M6" s="20"/>
      <c r="N6" s="24"/>
      <c r="O6" s="25"/>
      <c r="P6" s="25"/>
      <c r="Q6" s="20"/>
    </row>
    <row r="7" ht="22.5" customHeight="1">
      <c r="A7" s="3">
        <v>45932.0</v>
      </c>
      <c r="B7" s="6" t="s">
        <v>52</v>
      </c>
      <c r="C7" s="6" t="s">
        <v>58</v>
      </c>
      <c r="E7" s="21"/>
      <c r="F7" s="7">
        <v>150000.0</v>
      </c>
      <c r="G7" s="22">
        <v>101.69</v>
      </c>
      <c r="H7" s="5" t="s">
        <v>60</v>
      </c>
      <c r="J7" s="23"/>
      <c r="K7" s="20"/>
      <c r="L7" s="20"/>
      <c r="M7" s="20"/>
      <c r="N7" s="24"/>
      <c r="O7" s="25"/>
      <c r="P7" s="25"/>
      <c r="Q7" s="20"/>
    </row>
    <row r="8" ht="22.5" customHeight="1">
      <c r="A8" s="3">
        <v>45923.0</v>
      </c>
      <c r="B8" s="6" t="s">
        <v>52</v>
      </c>
      <c r="C8" s="6" t="s">
        <v>61</v>
      </c>
      <c r="E8" s="21"/>
      <c r="F8" s="7">
        <v>37085.74</v>
      </c>
      <c r="G8" s="22">
        <v>25.14</v>
      </c>
      <c r="H8" s="4" t="s">
        <v>62</v>
      </c>
      <c r="J8" s="20"/>
      <c r="K8" s="20"/>
      <c r="L8" s="20"/>
      <c r="M8" s="20"/>
      <c r="N8" s="24"/>
      <c r="O8" s="25"/>
      <c r="P8" s="25"/>
      <c r="Q8" s="20"/>
    </row>
    <row r="9" ht="22.5" customHeight="1">
      <c r="A9" s="3">
        <v>45943.0</v>
      </c>
      <c r="B9" s="6" t="s">
        <v>52</v>
      </c>
      <c r="C9" s="6" t="s">
        <v>61</v>
      </c>
      <c r="E9" s="21"/>
      <c r="F9" s="7">
        <v>9277.0</v>
      </c>
      <c r="G9" s="22">
        <v>6.27</v>
      </c>
      <c r="H9" s="4" t="s">
        <v>63</v>
      </c>
      <c r="J9" s="20"/>
      <c r="K9" s="20"/>
      <c r="L9" s="20"/>
      <c r="M9" s="20"/>
      <c r="N9" s="24"/>
      <c r="O9" s="25"/>
      <c r="P9" s="25"/>
      <c r="Q9" s="20"/>
    </row>
    <row r="10" ht="22.5" customHeight="1">
      <c r="A10" s="3">
        <v>45950.0</v>
      </c>
      <c r="B10" s="6" t="s">
        <v>52</v>
      </c>
      <c r="C10" s="6" t="s">
        <v>61</v>
      </c>
      <c r="E10" s="21"/>
      <c r="F10" s="7">
        <v>37085.74</v>
      </c>
      <c r="G10" s="22">
        <v>25.23</v>
      </c>
      <c r="H10" s="4" t="s">
        <v>62</v>
      </c>
      <c r="J10" s="20"/>
      <c r="K10" s="20"/>
      <c r="L10" s="20"/>
      <c r="M10" s="20"/>
      <c r="N10" s="24"/>
      <c r="O10" s="25"/>
      <c r="P10" s="25"/>
      <c r="Q10" s="20"/>
    </row>
    <row r="11" ht="22.5" customHeight="1">
      <c r="A11" s="3">
        <v>45964.0</v>
      </c>
      <c r="B11" s="6" t="s">
        <v>52</v>
      </c>
      <c r="C11" s="6" t="s">
        <v>58</v>
      </c>
      <c r="E11" s="21"/>
      <c r="F11" s="7">
        <v>150000.0</v>
      </c>
      <c r="G11" s="22">
        <v>102.39</v>
      </c>
      <c r="H11" s="4" t="s">
        <v>59</v>
      </c>
      <c r="J11" s="23"/>
      <c r="K11" s="20"/>
      <c r="L11" s="20"/>
      <c r="M11" s="20"/>
      <c r="N11" s="24"/>
      <c r="O11" s="25"/>
      <c r="P11" s="25"/>
      <c r="Q11" s="20"/>
    </row>
    <row r="12" ht="22.5" customHeight="1">
      <c r="A12" s="3">
        <v>45964.0</v>
      </c>
      <c r="B12" s="6" t="s">
        <v>52</v>
      </c>
      <c r="C12" s="6" t="s">
        <v>58</v>
      </c>
      <c r="E12" s="21"/>
      <c r="F12" s="7">
        <v>150000.0</v>
      </c>
      <c r="G12" s="22">
        <v>102.39</v>
      </c>
      <c r="H12" s="5" t="s">
        <v>60</v>
      </c>
      <c r="J12" s="23"/>
      <c r="K12" s="20"/>
      <c r="L12" s="20"/>
      <c r="M12" s="20"/>
      <c r="N12" s="24"/>
      <c r="O12" s="25"/>
      <c r="P12" s="25"/>
      <c r="Q12" s="20"/>
    </row>
    <row r="13" ht="22.5" customHeight="1">
      <c r="A13" s="3">
        <v>45965.0</v>
      </c>
      <c r="B13" s="6" t="s">
        <v>52</v>
      </c>
      <c r="C13" s="6" t="s">
        <v>53</v>
      </c>
      <c r="E13" s="21"/>
      <c r="F13" s="7">
        <f t="shared" ref="F13:F14" si="1">20*1450</f>
        <v>29000</v>
      </c>
      <c r="G13" s="22">
        <v>20.0</v>
      </c>
      <c r="H13" s="4" t="s">
        <v>54</v>
      </c>
      <c r="J13" s="23"/>
      <c r="K13" s="20"/>
      <c r="L13" s="20"/>
      <c r="M13" s="20"/>
      <c r="N13" s="20"/>
      <c r="O13" s="25"/>
      <c r="P13" s="25"/>
      <c r="Q13" s="20"/>
    </row>
    <row r="14" ht="22.5" customHeight="1">
      <c r="A14" s="3">
        <v>45965.0</v>
      </c>
      <c r="B14" s="6" t="s">
        <v>52</v>
      </c>
      <c r="C14" s="6" t="s">
        <v>53</v>
      </c>
      <c r="E14" s="21"/>
      <c r="F14" s="7">
        <f t="shared" si="1"/>
        <v>29000</v>
      </c>
      <c r="G14" s="22">
        <v>20.0</v>
      </c>
      <c r="H14" s="4" t="s">
        <v>55</v>
      </c>
      <c r="J14" s="23"/>
      <c r="K14" s="20"/>
      <c r="L14" s="20"/>
      <c r="M14" s="20"/>
      <c r="N14" s="20"/>
      <c r="O14" s="25"/>
      <c r="P14" s="25"/>
      <c r="Q14" s="20"/>
    </row>
    <row r="15" ht="22.5" customHeight="1">
      <c r="A15" s="3">
        <v>45965.0</v>
      </c>
      <c r="B15" s="6" t="s">
        <v>49</v>
      </c>
      <c r="C15" s="6" t="s">
        <v>50</v>
      </c>
      <c r="E15" s="21"/>
      <c r="F15" s="7">
        <f>25.1*1450</f>
        <v>36395</v>
      </c>
      <c r="G15" s="22">
        <v>25.1</v>
      </c>
      <c r="H15" s="4" t="s">
        <v>51</v>
      </c>
      <c r="J15" s="23"/>
      <c r="K15" s="20"/>
      <c r="L15" s="20"/>
      <c r="M15" s="20"/>
      <c r="N15" s="24"/>
      <c r="O15" s="25"/>
      <c r="P15" s="25"/>
      <c r="Q15" s="20"/>
    </row>
    <row r="16" ht="22.5" customHeight="1">
      <c r="A16" s="3">
        <v>45971.0</v>
      </c>
      <c r="B16" s="6" t="s">
        <v>52</v>
      </c>
      <c r="C16" s="6" t="s">
        <v>61</v>
      </c>
      <c r="E16" s="21"/>
      <c r="F16" s="7">
        <v>9277.0</v>
      </c>
      <c r="G16" s="22">
        <v>6.51</v>
      </c>
      <c r="H16" s="4" t="s">
        <v>63</v>
      </c>
      <c r="J16" s="23"/>
      <c r="K16" s="20"/>
      <c r="L16" s="20"/>
      <c r="M16" s="20"/>
      <c r="N16" s="24"/>
      <c r="O16" s="25"/>
      <c r="P16" s="25"/>
      <c r="Q16" s="20"/>
    </row>
    <row r="17" ht="22.5" customHeight="1">
      <c r="A17" s="3">
        <v>45993.0</v>
      </c>
      <c r="B17" s="6" t="s">
        <v>52</v>
      </c>
      <c r="C17" s="6" t="s">
        <v>58</v>
      </c>
      <c r="E17" s="21"/>
      <c r="F17" s="7">
        <v>150000.0</v>
      </c>
      <c r="G17" s="22">
        <v>104.17</v>
      </c>
      <c r="H17" s="4" t="s">
        <v>59</v>
      </c>
      <c r="J17" s="23"/>
      <c r="K17" s="20"/>
      <c r="L17" s="20"/>
      <c r="M17" s="20"/>
      <c r="N17" s="24"/>
      <c r="O17" s="25"/>
      <c r="P17" s="25"/>
      <c r="Q17" s="20"/>
    </row>
    <row r="18" ht="22.5" customHeight="1">
      <c r="A18" s="3">
        <v>45993.0</v>
      </c>
      <c r="B18" s="6" t="s">
        <v>52</v>
      </c>
      <c r="C18" s="6" t="s">
        <v>58</v>
      </c>
      <c r="E18" s="21"/>
      <c r="F18" s="7">
        <v>150000.0</v>
      </c>
      <c r="G18" s="22">
        <v>104.17</v>
      </c>
      <c r="H18" s="5" t="s">
        <v>60</v>
      </c>
      <c r="J18" s="23"/>
      <c r="K18" s="20"/>
      <c r="L18" s="20"/>
      <c r="M18" s="20"/>
      <c r="N18" s="24"/>
      <c r="O18" s="25"/>
      <c r="P18" s="25"/>
      <c r="Q18" s="20"/>
    </row>
    <row r="19" ht="22.5" customHeight="1">
      <c r="A19" s="3">
        <v>45994.0</v>
      </c>
      <c r="B19" s="6" t="s">
        <v>52</v>
      </c>
      <c r="C19" s="6" t="s">
        <v>53</v>
      </c>
      <c r="E19" s="21"/>
      <c r="F19" s="7">
        <f t="shared" ref="F19:F20" si="2">20*1445</f>
        <v>28900</v>
      </c>
      <c r="G19" s="22">
        <v>20.0</v>
      </c>
      <c r="H19" s="4" t="s">
        <v>54</v>
      </c>
      <c r="J19" s="23"/>
      <c r="K19" s="20"/>
      <c r="L19" s="20"/>
      <c r="M19" s="20"/>
      <c r="N19" s="20"/>
      <c r="O19" s="25"/>
      <c r="P19" s="25"/>
      <c r="Q19" s="20"/>
    </row>
    <row r="20" ht="22.5" customHeight="1">
      <c r="A20" s="3">
        <v>45994.0</v>
      </c>
      <c r="B20" s="6" t="s">
        <v>52</v>
      </c>
      <c r="C20" s="6" t="s">
        <v>53</v>
      </c>
      <c r="E20" s="21"/>
      <c r="F20" s="7">
        <f t="shared" si="2"/>
        <v>28900</v>
      </c>
      <c r="G20" s="22">
        <v>20.0</v>
      </c>
      <c r="H20" s="4" t="s">
        <v>55</v>
      </c>
      <c r="J20" s="23"/>
      <c r="K20" s="20"/>
      <c r="L20" s="20"/>
      <c r="M20" s="20"/>
      <c r="N20" s="20"/>
      <c r="O20" s="25"/>
      <c r="P20" s="25"/>
      <c r="Q20" s="20"/>
    </row>
    <row r="21" ht="15.75" customHeight="1">
      <c r="A21" s="3">
        <v>45994.0</v>
      </c>
      <c r="B21" s="6" t="s">
        <v>49</v>
      </c>
      <c r="C21" s="6" t="s">
        <v>50</v>
      </c>
      <c r="E21" s="21"/>
      <c r="F21" s="7">
        <f>25.03*1445</f>
        <v>36168.35</v>
      </c>
      <c r="G21" s="22">
        <v>25.03</v>
      </c>
      <c r="H21" s="4" t="s">
        <v>51</v>
      </c>
      <c r="J21" s="23"/>
      <c r="K21" s="20"/>
      <c r="L21" s="20"/>
      <c r="M21" s="20"/>
      <c r="N21" s="24"/>
      <c r="O21" s="25"/>
      <c r="P21" s="25"/>
      <c r="Q21" s="20"/>
    </row>
    <row r="22" ht="15.75" customHeight="1">
      <c r="A22" s="3">
        <v>45994.0</v>
      </c>
      <c r="B22" s="6" t="s">
        <v>49</v>
      </c>
      <c r="C22" s="6" t="s">
        <v>50</v>
      </c>
      <c r="E22" s="21"/>
      <c r="F22" s="7">
        <f>12.78*1445</f>
        <v>18467.1</v>
      </c>
      <c r="G22" s="22">
        <v>12.78</v>
      </c>
      <c r="H22" s="4" t="s">
        <v>64</v>
      </c>
      <c r="J22" s="23"/>
      <c r="K22" s="20"/>
      <c r="L22" s="20"/>
      <c r="M22" s="20"/>
      <c r="N22" s="24"/>
      <c r="O22" s="25"/>
      <c r="P22" s="25"/>
      <c r="Q22" s="20"/>
    </row>
    <row r="23" ht="15.75" customHeight="1">
      <c r="A23" s="3">
        <v>45999.0</v>
      </c>
      <c r="B23" s="6" t="s">
        <v>52</v>
      </c>
      <c r="C23" s="6" t="s">
        <v>61</v>
      </c>
      <c r="E23" s="21"/>
      <c r="F23" s="7">
        <v>9277.0</v>
      </c>
      <c r="G23" s="22">
        <v>6.46</v>
      </c>
      <c r="H23" s="4" t="s">
        <v>63</v>
      </c>
      <c r="J23" s="23"/>
      <c r="K23" s="20"/>
      <c r="L23" s="20"/>
      <c r="M23" s="20"/>
      <c r="N23" s="24"/>
      <c r="O23" s="25"/>
      <c r="P23" s="25"/>
      <c r="Q23" s="20"/>
    </row>
    <row r="24" ht="15.75" customHeight="1">
      <c r="A24" s="3">
        <v>46013.0</v>
      </c>
      <c r="B24" s="6" t="s">
        <v>52</v>
      </c>
      <c r="C24" s="6" t="s">
        <v>61</v>
      </c>
      <c r="E24" s="21"/>
      <c r="F24" s="7">
        <v>37095.0</v>
      </c>
      <c r="G24" s="22">
        <v>24.9</v>
      </c>
      <c r="H24" s="4" t="s">
        <v>62</v>
      </c>
      <c r="J24" s="20"/>
      <c r="K24" s="20"/>
      <c r="L24" s="20"/>
      <c r="M24" s="20"/>
      <c r="N24" s="24"/>
      <c r="O24" s="25"/>
      <c r="P24" s="25"/>
      <c r="Q24" s="20"/>
    </row>
    <row r="25" ht="15.75" customHeight="1">
      <c r="A25" s="3">
        <v>46027.0</v>
      </c>
      <c r="B25" s="6" t="s">
        <v>52</v>
      </c>
      <c r="C25" s="6" t="s">
        <v>58</v>
      </c>
      <c r="E25" s="21"/>
      <c r="F25" s="7">
        <v>330000.0</v>
      </c>
      <c r="G25" s="22">
        <v>220.74</v>
      </c>
      <c r="H25" s="4" t="s">
        <v>65</v>
      </c>
      <c r="J25" s="23"/>
      <c r="K25" s="20"/>
      <c r="L25" s="20"/>
      <c r="M25" s="20"/>
      <c r="N25" s="24"/>
      <c r="O25" s="25"/>
      <c r="P25" s="25"/>
      <c r="Q25" s="20"/>
    </row>
    <row r="26" ht="15.75" customHeight="1">
      <c r="A26" s="3">
        <v>46027.0</v>
      </c>
      <c r="B26" s="6" t="s">
        <v>49</v>
      </c>
      <c r="C26" s="6" t="s">
        <v>53</v>
      </c>
      <c r="E26" s="21"/>
      <c r="F26" s="7">
        <v>137273.33</v>
      </c>
      <c r="G26" s="22">
        <v>91.82</v>
      </c>
      <c r="H26" s="5" t="s">
        <v>66</v>
      </c>
      <c r="J26" s="23"/>
      <c r="K26" s="20"/>
      <c r="L26" s="20"/>
      <c r="M26" s="20"/>
      <c r="N26" s="24"/>
      <c r="O26" s="25"/>
      <c r="P26" s="25"/>
      <c r="Q26" s="20"/>
    </row>
    <row r="27" ht="15.75" customHeight="1">
      <c r="A27" s="3">
        <v>46035.0</v>
      </c>
      <c r="B27" s="6" t="s">
        <v>52</v>
      </c>
      <c r="C27" s="6" t="s">
        <v>61</v>
      </c>
      <c r="E27" s="21"/>
      <c r="F27" s="7">
        <v>9277.0</v>
      </c>
      <c r="G27" s="22">
        <v>6.29</v>
      </c>
      <c r="H27" s="4" t="s">
        <v>63</v>
      </c>
      <c r="J27" s="20"/>
      <c r="K27" s="20"/>
      <c r="L27" s="20"/>
      <c r="M27" s="20"/>
      <c r="N27" s="24"/>
      <c r="O27" s="25"/>
      <c r="P27" s="25"/>
      <c r="Q27" s="20"/>
    </row>
    <row r="28" ht="15.75" customHeight="1">
      <c r="A28" s="3">
        <v>46042.0</v>
      </c>
      <c r="B28" s="6" t="s">
        <v>52</v>
      </c>
      <c r="C28" s="6" t="s">
        <v>61</v>
      </c>
      <c r="E28" s="21"/>
      <c r="F28" s="7">
        <v>37086.0</v>
      </c>
      <c r="G28" s="22">
        <v>25.31</v>
      </c>
      <c r="H28" s="4" t="s">
        <v>62</v>
      </c>
      <c r="J28" s="20"/>
      <c r="K28" s="20"/>
      <c r="L28" s="20"/>
      <c r="M28" s="20"/>
      <c r="N28" s="24"/>
      <c r="O28" s="25"/>
      <c r="P28" s="25"/>
      <c r="Q28" s="20"/>
    </row>
    <row r="29" ht="15.75" customHeight="1">
      <c r="A29" s="3">
        <v>46053.0</v>
      </c>
      <c r="B29" s="6" t="s">
        <v>49</v>
      </c>
      <c r="C29" s="6" t="s">
        <v>58</v>
      </c>
      <c r="E29" s="21"/>
      <c r="F29" s="7">
        <v>50000.0</v>
      </c>
      <c r="G29" s="22">
        <v>34.0</v>
      </c>
      <c r="H29" s="4" t="s">
        <v>67</v>
      </c>
      <c r="J29" s="20"/>
      <c r="K29" s="20"/>
      <c r="L29" s="20"/>
      <c r="M29" s="20"/>
      <c r="N29" s="20"/>
      <c r="O29" s="25"/>
      <c r="P29" s="25"/>
      <c r="Q29" s="20"/>
    </row>
    <row r="30" ht="15.75" customHeight="1">
      <c r="A30" s="3">
        <v>46055.0</v>
      </c>
      <c r="B30" s="6" t="s">
        <v>52</v>
      </c>
      <c r="C30" s="6" t="s">
        <v>58</v>
      </c>
      <c r="E30" s="21"/>
      <c r="F30" s="7">
        <v>330000.0</v>
      </c>
      <c r="G30" s="22">
        <v>226.0</v>
      </c>
      <c r="H30" s="4" t="s">
        <v>65</v>
      </c>
      <c r="J30" s="23"/>
      <c r="K30" s="20"/>
      <c r="L30" s="20"/>
      <c r="M30" s="20"/>
      <c r="N30" s="20"/>
      <c r="O30" s="25"/>
      <c r="P30" s="25"/>
      <c r="Q30" s="20"/>
    </row>
    <row r="31" ht="15.75" customHeight="1">
      <c r="A31" s="3">
        <v>46057.0</v>
      </c>
      <c r="B31" s="6" t="s">
        <v>52</v>
      </c>
      <c r="C31" s="6" t="s">
        <v>53</v>
      </c>
      <c r="E31" s="21"/>
      <c r="F31" s="7"/>
      <c r="G31" s="22">
        <v>40.0</v>
      </c>
      <c r="H31" s="4" t="s">
        <v>55</v>
      </c>
      <c r="J31" s="23"/>
      <c r="K31" s="20"/>
      <c r="L31" s="20"/>
      <c r="M31" s="24"/>
      <c r="N31" s="20"/>
      <c r="O31" s="26"/>
      <c r="P31" s="25"/>
      <c r="Q31" s="20"/>
    </row>
    <row r="32" ht="15.75" customHeight="1">
      <c r="A32" s="3">
        <v>46057.0</v>
      </c>
      <c r="B32" s="6" t="s">
        <v>49</v>
      </c>
      <c r="C32" s="6" t="s">
        <v>50</v>
      </c>
      <c r="E32" s="21"/>
      <c r="F32" s="7"/>
      <c r="G32" s="22">
        <v>20.0</v>
      </c>
      <c r="H32" s="4" t="s">
        <v>54</v>
      </c>
      <c r="J32" s="23"/>
      <c r="K32" s="20"/>
      <c r="L32" s="20"/>
      <c r="M32" s="24"/>
      <c r="N32" s="20"/>
      <c r="O32" s="24"/>
      <c r="P32" s="25"/>
      <c r="Q32" s="20"/>
    </row>
    <row r="33" ht="15.75" customHeight="1">
      <c r="A33" s="3">
        <v>46057.0</v>
      </c>
      <c r="B33" s="6" t="s">
        <v>49</v>
      </c>
      <c r="C33" s="6" t="s">
        <v>50</v>
      </c>
      <c r="E33" s="21"/>
      <c r="F33" s="7"/>
      <c r="G33" s="22">
        <v>46.08</v>
      </c>
      <c r="H33" s="4" t="s">
        <v>64</v>
      </c>
      <c r="J33" s="23"/>
      <c r="K33" s="20"/>
      <c r="L33" s="20"/>
      <c r="M33" s="24"/>
      <c r="N33" s="20"/>
      <c r="O33" s="24"/>
      <c r="P33" s="25"/>
      <c r="Q33" s="20"/>
    </row>
    <row r="34" ht="15.75" customHeight="1">
      <c r="A34" s="3">
        <v>46071.0</v>
      </c>
      <c r="B34" s="6" t="s">
        <v>52</v>
      </c>
      <c r="C34" s="6" t="s">
        <v>61</v>
      </c>
      <c r="E34" s="21"/>
      <c r="F34" s="7">
        <v>43386.74</v>
      </c>
      <c r="G34" s="22">
        <v>30.77</v>
      </c>
      <c r="H34" s="4" t="s">
        <v>62</v>
      </c>
    </row>
    <row r="35" ht="15.75" customHeight="1">
      <c r="A35" s="3">
        <v>46071.0</v>
      </c>
      <c r="B35" s="6" t="s">
        <v>52</v>
      </c>
      <c r="C35" s="6" t="s">
        <v>61</v>
      </c>
      <c r="E35" s="21"/>
      <c r="F35" s="7">
        <v>10500.0</v>
      </c>
      <c r="G35" s="22">
        <v>7.44</v>
      </c>
      <c r="H35" s="4" t="s">
        <v>63</v>
      </c>
    </row>
    <row r="36" ht="15.75" customHeight="1">
      <c r="A36" s="3">
        <v>46077.0</v>
      </c>
      <c r="B36" s="6" t="s">
        <v>49</v>
      </c>
      <c r="C36" s="6" t="s">
        <v>61</v>
      </c>
      <c r="E36" s="21"/>
      <c r="F36" s="7">
        <v>35360.0</v>
      </c>
      <c r="G36" s="22">
        <f>F36/1425</f>
        <v>24.81403509</v>
      </c>
      <c r="H36" s="4" t="s">
        <v>68</v>
      </c>
    </row>
    <row r="37" ht="15.75" customHeight="1">
      <c r="A37" s="3">
        <v>46079.0</v>
      </c>
      <c r="B37" s="6" t="s">
        <v>49</v>
      </c>
      <c r="C37" s="6" t="s">
        <v>69</v>
      </c>
      <c r="E37" s="21"/>
      <c r="F37" s="7">
        <v>190000.0</v>
      </c>
      <c r="G37" s="22">
        <f>F37/1435.21</f>
        <v>132.3848078</v>
      </c>
      <c r="H37" s="4" t="s">
        <v>70</v>
      </c>
    </row>
    <row r="38" ht="15.75" customHeight="1">
      <c r="A38" s="3">
        <v>46080.0</v>
      </c>
      <c r="B38" s="6" t="s">
        <v>52</v>
      </c>
      <c r="C38" s="6" t="s">
        <v>71</v>
      </c>
      <c r="E38" s="21"/>
      <c r="F38" s="7">
        <v>2000000.0</v>
      </c>
      <c r="G38" s="22">
        <f>F38/1428.17</f>
        <v>1400.393511</v>
      </c>
      <c r="H38" s="4" t="s">
        <v>72</v>
      </c>
    </row>
    <row r="39" ht="15.75" customHeight="1">
      <c r="A39" s="3">
        <v>46083.0</v>
      </c>
      <c r="B39" s="6" t="s">
        <v>49</v>
      </c>
      <c r="C39" s="6" t="s">
        <v>53</v>
      </c>
      <c r="E39" s="21"/>
      <c r="F39" s="7"/>
      <c r="G39" s="22">
        <v>40.06</v>
      </c>
      <c r="H39" s="4" t="s">
        <v>64</v>
      </c>
    </row>
    <row r="40" ht="15.75" customHeight="1">
      <c r="A40" s="3">
        <v>46083.0</v>
      </c>
      <c r="B40" s="6" t="s">
        <v>52</v>
      </c>
      <c r="C40" s="6" t="s">
        <v>53</v>
      </c>
      <c r="E40" s="21"/>
      <c r="F40" s="7"/>
      <c r="G40" s="22">
        <v>30.59</v>
      </c>
      <c r="H40" s="4" t="s">
        <v>55</v>
      </c>
    </row>
    <row r="41" ht="15.75" customHeight="1">
      <c r="A41" s="3">
        <v>46083.0</v>
      </c>
      <c r="B41" s="6" t="s">
        <v>52</v>
      </c>
      <c r="C41" s="6" t="s">
        <v>53</v>
      </c>
      <c r="E41" s="21"/>
      <c r="F41" s="7"/>
      <c r="G41" s="22">
        <v>20.0</v>
      </c>
      <c r="H41" s="4" t="s">
        <v>54</v>
      </c>
    </row>
    <row r="42" ht="15.75" customHeight="1">
      <c r="A42" s="3">
        <v>46083.0</v>
      </c>
      <c r="B42" s="6" t="s">
        <v>49</v>
      </c>
      <c r="C42" s="6" t="s">
        <v>73</v>
      </c>
      <c r="E42" s="21"/>
      <c r="F42" s="7">
        <v>15000.0</v>
      </c>
      <c r="G42" s="22">
        <f t="shared" ref="G42:G43" si="3">F42/1428.17</f>
        <v>10.50295133</v>
      </c>
      <c r="H42" s="4" t="s">
        <v>74</v>
      </c>
    </row>
    <row r="43" ht="15.75" customHeight="1">
      <c r="A43" s="3">
        <v>46083.0</v>
      </c>
      <c r="B43" s="6" t="s">
        <v>52</v>
      </c>
      <c r="C43" s="6" t="s">
        <v>58</v>
      </c>
      <c r="E43" s="21"/>
      <c r="F43" s="7">
        <v>330000.0</v>
      </c>
      <c r="G43" s="22">
        <f t="shared" si="3"/>
        <v>231.0649292</v>
      </c>
      <c r="H43" s="4" t="s">
        <v>65</v>
      </c>
    </row>
    <row r="44" ht="15.75" customHeight="1">
      <c r="A44" s="3">
        <v>46085.0</v>
      </c>
      <c r="B44" s="6" t="s">
        <v>49</v>
      </c>
      <c r="C44" s="6" t="s">
        <v>75</v>
      </c>
      <c r="E44" s="21"/>
      <c r="F44" s="7">
        <v>70000.0</v>
      </c>
      <c r="G44" s="8">
        <f>F44/1434.29</f>
        <v>48.80463505</v>
      </c>
      <c r="H44" s="5" t="s">
        <v>76</v>
      </c>
    </row>
    <row r="45" ht="15.75" customHeight="1">
      <c r="A45" s="27"/>
      <c r="B45" s="21"/>
      <c r="C45" s="21"/>
      <c r="E45" s="21"/>
      <c r="F45" s="7"/>
      <c r="G45" s="22"/>
    </row>
    <row r="46" ht="15.75" customHeight="1">
      <c r="A46" s="27"/>
      <c r="B46" s="21"/>
      <c r="C46" s="21"/>
      <c r="E46" s="21"/>
      <c r="F46" s="7"/>
      <c r="G46" s="22"/>
    </row>
    <row r="47" ht="15.75" customHeight="1">
      <c r="A47" s="27"/>
      <c r="B47" s="21"/>
      <c r="C47" s="21"/>
      <c r="E47" s="21"/>
      <c r="F47" s="7"/>
      <c r="G47" s="22"/>
    </row>
    <row r="48" ht="15.75" customHeight="1">
      <c r="A48" s="27"/>
      <c r="B48" s="21"/>
      <c r="C48" s="21"/>
      <c r="E48" s="21"/>
      <c r="F48" s="7"/>
      <c r="G48" s="22"/>
    </row>
    <row r="49" ht="15.75" customHeight="1">
      <c r="A49" s="27"/>
      <c r="B49" s="21"/>
      <c r="C49" s="21"/>
      <c r="E49" s="21"/>
      <c r="F49" s="7"/>
      <c r="G49" s="22"/>
    </row>
    <row r="50" ht="15.75" customHeight="1">
      <c r="A50" s="27"/>
      <c r="B50" s="21"/>
      <c r="C50" s="21"/>
      <c r="E50" s="21"/>
      <c r="F50" s="7"/>
      <c r="G50" s="22"/>
    </row>
    <row r="51" ht="15.75" customHeight="1">
      <c r="A51" s="27"/>
      <c r="B51" s="21"/>
      <c r="C51" s="21"/>
      <c r="E51" s="21"/>
      <c r="F51" s="7"/>
      <c r="G51" s="22"/>
    </row>
    <row r="52" ht="15.75" customHeight="1">
      <c r="A52" s="27"/>
      <c r="B52" s="21"/>
      <c r="C52" s="21"/>
      <c r="E52" s="21"/>
      <c r="F52" s="7"/>
      <c r="G52" s="22"/>
    </row>
    <row r="53" ht="15.75" customHeight="1">
      <c r="A53" s="27"/>
      <c r="B53" s="21"/>
      <c r="C53" s="21"/>
      <c r="E53" s="21"/>
      <c r="F53" s="7"/>
      <c r="G53" s="22"/>
    </row>
    <row r="54" ht="15.75" customHeight="1">
      <c r="A54" s="27"/>
      <c r="B54" s="21"/>
      <c r="C54" s="21"/>
      <c r="E54" s="21"/>
      <c r="F54" s="7"/>
      <c r="G54" s="22"/>
    </row>
    <row r="55" ht="15.75" customHeight="1">
      <c r="A55" s="27"/>
      <c r="B55" s="21"/>
      <c r="C55" s="21"/>
      <c r="E55" s="21"/>
      <c r="F55" s="7"/>
      <c r="G55" s="22"/>
    </row>
    <row r="56" ht="15.75" customHeight="1">
      <c r="A56" s="27"/>
      <c r="B56" s="21"/>
      <c r="C56" s="21"/>
      <c r="E56" s="21"/>
      <c r="F56" s="7"/>
      <c r="G56" s="22"/>
    </row>
    <row r="57" ht="15.75" customHeight="1">
      <c r="A57" s="27"/>
      <c r="B57" s="21"/>
      <c r="C57" s="21"/>
      <c r="E57" s="21"/>
      <c r="F57" s="7"/>
      <c r="G57" s="22"/>
    </row>
    <row r="58" ht="15.75" customHeight="1">
      <c r="A58" s="27"/>
      <c r="B58" s="21"/>
      <c r="C58" s="21"/>
      <c r="E58" s="21"/>
      <c r="F58" s="7"/>
      <c r="G58" s="22"/>
    </row>
    <row r="59" ht="15.75" customHeight="1">
      <c r="A59" s="27"/>
      <c r="B59" s="21"/>
      <c r="C59" s="21"/>
      <c r="E59" s="21"/>
      <c r="F59" s="7"/>
      <c r="G59" s="22"/>
    </row>
    <row r="60" ht="15.75" customHeight="1">
      <c r="A60" s="27"/>
      <c r="B60" s="21"/>
      <c r="C60" s="21"/>
      <c r="E60" s="21"/>
      <c r="F60" s="7"/>
      <c r="G60" s="22"/>
    </row>
    <row r="61" ht="15.75" customHeight="1">
      <c r="A61" s="27"/>
      <c r="B61" s="21"/>
      <c r="C61" s="21"/>
      <c r="E61" s="21"/>
      <c r="F61" s="7"/>
      <c r="G61" s="22"/>
    </row>
    <row r="62" ht="15.75" customHeight="1">
      <c r="A62" s="27"/>
      <c r="B62" s="21"/>
      <c r="C62" s="21"/>
      <c r="E62" s="21"/>
      <c r="F62" s="7"/>
      <c r="G62" s="22"/>
    </row>
    <row r="63" ht="15.75" customHeight="1">
      <c r="A63" s="27"/>
      <c r="B63" s="21"/>
      <c r="C63" s="21"/>
      <c r="E63" s="21"/>
      <c r="F63" s="7"/>
      <c r="G63" s="22"/>
    </row>
    <row r="64" ht="15.75" customHeight="1">
      <c r="A64" s="27"/>
      <c r="B64" s="21"/>
      <c r="C64" s="21"/>
      <c r="E64" s="21"/>
      <c r="F64" s="7"/>
      <c r="G64" s="22"/>
    </row>
    <row r="65" ht="15.75" customHeight="1">
      <c r="A65" s="27"/>
      <c r="B65" s="21"/>
      <c r="C65" s="21"/>
      <c r="E65" s="21"/>
      <c r="F65" s="7"/>
      <c r="G65" s="22"/>
    </row>
    <row r="66" ht="15.75" customHeight="1">
      <c r="A66" s="27"/>
      <c r="B66" s="21"/>
      <c r="C66" s="21"/>
      <c r="E66" s="21"/>
      <c r="F66" s="7"/>
      <c r="G66" s="22"/>
    </row>
    <row r="67" ht="15.75" customHeight="1">
      <c r="A67" s="27"/>
      <c r="B67" s="21"/>
      <c r="C67" s="21"/>
      <c r="E67" s="21"/>
      <c r="F67" s="7"/>
      <c r="G67" s="22"/>
    </row>
    <row r="68" ht="15.75" customHeight="1">
      <c r="A68" s="27"/>
      <c r="B68" s="21"/>
      <c r="C68" s="21"/>
      <c r="E68" s="21"/>
      <c r="F68" s="7"/>
      <c r="G68" s="22"/>
    </row>
    <row r="69" ht="15.75" customHeight="1">
      <c r="A69" s="27"/>
      <c r="B69" s="21"/>
      <c r="C69" s="21"/>
      <c r="E69" s="21"/>
      <c r="F69" s="7"/>
      <c r="G69" s="22"/>
    </row>
    <row r="70" ht="15.75" customHeight="1">
      <c r="A70" s="27"/>
      <c r="B70" s="21"/>
      <c r="C70" s="21"/>
      <c r="E70" s="21"/>
      <c r="F70" s="7"/>
      <c r="G70" s="22"/>
    </row>
    <row r="71" ht="15.75" customHeight="1">
      <c r="A71" s="27"/>
      <c r="B71" s="21"/>
      <c r="C71" s="21"/>
      <c r="E71" s="21"/>
      <c r="F71" s="7"/>
      <c r="G71" s="22"/>
    </row>
    <row r="72" ht="15.75" customHeight="1">
      <c r="A72" s="27"/>
      <c r="B72" s="21"/>
      <c r="C72" s="21"/>
      <c r="E72" s="21"/>
      <c r="F72" s="7"/>
      <c r="G72" s="22"/>
    </row>
    <row r="73" ht="15.75" customHeight="1">
      <c r="A73" s="27"/>
      <c r="B73" s="21"/>
      <c r="C73" s="21"/>
      <c r="E73" s="21"/>
      <c r="F73" s="7"/>
      <c r="G73" s="22"/>
    </row>
    <row r="74" ht="15.75" customHeight="1">
      <c r="A74" s="27"/>
      <c r="B74" s="21"/>
      <c r="C74" s="21"/>
      <c r="E74" s="21"/>
      <c r="F74" s="7"/>
      <c r="G74" s="22"/>
    </row>
    <row r="75" ht="15.75" customHeight="1">
      <c r="A75" s="27"/>
      <c r="B75" s="21"/>
      <c r="C75" s="21"/>
      <c r="E75" s="21"/>
      <c r="F75" s="7"/>
      <c r="G75" s="22"/>
    </row>
    <row r="76" ht="15.75" customHeight="1">
      <c r="A76" s="27"/>
      <c r="B76" s="21"/>
      <c r="C76" s="21"/>
      <c r="E76" s="21"/>
      <c r="F76" s="7"/>
      <c r="G76" s="22"/>
    </row>
    <row r="77" ht="15.75" customHeight="1">
      <c r="A77" s="27"/>
      <c r="B77" s="21"/>
      <c r="C77" s="21"/>
      <c r="E77" s="21"/>
      <c r="F77" s="7"/>
      <c r="G77" s="22"/>
    </row>
    <row r="78" ht="15.75" customHeight="1">
      <c r="A78" s="27"/>
      <c r="B78" s="21"/>
      <c r="C78" s="21"/>
      <c r="E78" s="21"/>
      <c r="F78" s="7"/>
      <c r="G78" s="22"/>
    </row>
    <row r="79" ht="15.75" customHeight="1">
      <c r="A79" s="27"/>
      <c r="B79" s="21"/>
      <c r="C79" s="21"/>
      <c r="E79" s="21"/>
      <c r="F79" s="7"/>
      <c r="G79" s="22"/>
    </row>
    <row r="80" ht="15.75" customHeight="1">
      <c r="A80" s="27"/>
      <c r="B80" s="21"/>
      <c r="C80" s="21"/>
      <c r="E80" s="21"/>
      <c r="F80" s="7"/>
      <c r="G80" s="22"/>
    </row>
    <row r="81" ht="15.75" customHeight="1">
      <c r="A81" s="27"/>
      <c r="B81" s="21"/>
      <c r="C81" s="21"/>
      <c r="E81" s="21"/>
      <c r="F81" s="7"/>
      <c r="G81" s="22"/>
    </row>
    <row r="82" ht="15.75" customHeight="1">
      <c r="A82" s="27"/>
      <c r="B82" s="21"/>
      <c r="C82" s="21"/>
      <c r="E82" s="21"/>
      <c r="F82" s="7"/>
      <c r="G82" s="22"/>
    </row>
    <row r="83" ht="15.75" customHeight="1">
      <c r="A83" s="27"/>
      <c r="B83" s="21"/>
      <c r="C83" s="21"/>
      <c r="E83" s="21"/>
      <c r="F83" s="7"/>
      <c r="G83" s="22"/>
    </row>
    <row r="84" ht="15.75" customHeight="1">
      <c r="A84" s="27"/>
      <c r="B84" s="21"/>
      <c r="C84" s="21"/>
      <c r="E84" s="21"/>
      <c r="F84" s="7"/>
      <c r="G84" s="22"/>
    </row>
    <row r="85" ht="15.75" customHeight="1">
      <c r="A85" s="27"/>
      <c r="B85" s="21"/>
      <c r="C85" s="21"/>
      <c r="E85" s="21"/>
      <c r="F85" s="7"/>
      <c r="G85" s="22"/>
    </row>
    <row r="86" ht="15.75" customHeight="1">
      <c r="A86" s="27"/>
      <c r="B86" s="21"/>
      <c r="C86" s="21"/>
      <c r="E86" s="21"/>
      <c r="F86" s="7"/>
      <c r="G86" s="22"/>
    </row>
    <row r="87" ht="15.75" customHeight="1">
      <c r="A87" s="27"/>
      <c r="B87" s="21"/>
      <c r="C87" s="21"/>
      <c r="E87" s="21"/>
      <c r="F87" s="7"/>
      <c r="G87" s="22"/>
    </row>
    <row r="88" ht="15.75" customHeight="1">
      <c r="A88" s="27"/>
      <c r="B88" s="21"/>
      <c r="C88" s="21"/>
      <c r="E88" s="21"/>
      <c r="F88" s="7"/>
      <c r="G88" s="22"/>
    </row>
    <row r="89" ht="15.75" customHeight="1">
      <c r="A89" s="27"/>
      <c r="B89" s="21"/>
      <c r="C89" s="21"/>
      <c r="E89" s="21"/>
      <c r="F89" s="7"/>
      <c r="G89" s="22"/>
    </row>
    <row r="90" ht="15.75" customHeight="1">
      <c r="A90" s="27"/>
      <c r="B90" s="21"/>
      <c r="C90" s="21"/>
      <c r="E90" s="21"/>
      <c r="F90" s="7"/>
      <c r="G90" s="22"/>
    </row>
    <row r="91" ht="15.75" customHeight="1">
      <c r="A91" s="27"/>
      <c r="B91" s="21"/>
      <c r="C91" s="21"/>
      <c r="E91" s="21"/>
      <c r="F91" s="7"/>
      <c r="G91" s="22"/>
    </row>
    <row r="92" ht="15.75" customHeight="1">
      <c r="A92" s="27"/>
      <c r="B92" s="21"/>
      <c r="C92" s="21"/>
      <c r="E92" s="21"/>
      <c r="F92" s="7"/>
      <c r="G92" s="22"/>
    </row>
    <row r="93" ht="15.75" customHeight="1">
      <c r="A93" s="27"/>
      <c r="B93" s="21"/>
      <c r="C93" s="21"/>
      <c r="E93" s="21"/>
      <c r="F93" s="7"/>
      <c r="G93" s="22"/>
    </row>
    <row r="94" ht="15.75" customHeight="1">
      <c r="A94" s="27"/>
      <c r="B94" s="21"/>
      <c r="C94" s="21"/>
      <c r="E94" s="21"/>
      <c r="F94" s="7"/>
      <c r="G94" s="22"/>
    </row>
    <row r="95" ht="15.75" customHeight="1">
      <c r="A95" s="27"/>
      <c r="B95" s="21"/>
      <c r="C95" s="21"/>
      <c r="E95" s="21"/>
      <c r="F95" s="7"/>
      <c r="G95" s="22"/>
    </row>
    <row r="96" ht="15.75" customHeight="1">
      <c r="A96" s="27"/>
      <c r="B96" s="21"/>
      <c r="C96" s="21"/>
      <c r="E96" s="21"/>
      <c r="F96" s="7"/>
      <c r="G96" s="22"/>
    </row>
    <row r="97" ht="15.75" customHeight="1">
      <c r="A97" s="27"/>
      <c r="B97" s="21"/>
      <c r="C97" s="21"/>
      <c r="E97" s="21"/>
      <c r="F97" s="7"/>
      <c r="G97" s="22"/>
    </row>
    <row r="98" ht="15.75" customHeight="1">
      <c r="A98" s="27"/>
      <c r="B98" s="21"/>
      <c r="C98" s="21"/>
      <c r="E98" s="21"/>
      <c r="F98" s="7"/>
      <c r="G98" s="22"/>
    </row>
    <row r="99" ht="15.75" customHeight="1">
      <c r="A99" s="27"/>
      <c r="B99" s="21"/>
      <c r="C99" s="21"/>
      <c r="E99" s="21"/>
      <c r="F99" s="7"/>
      <c r="G99" s="22"/>
    </row>
    <row r="100" ht="15.75" customHeight="1">
      <c r="A100" s="27"/>
      <c r="B100" s="21"/>
      <c r="C100" s="21"/>
      <c r="E100" s="21"/>
      <c r="F100" s="7"/>
      <c r="G100" s="22"/>
    </row>
    <row r="101" ht="15.75" customHeight="1">
      <c r="A101" s="27"/>
      <c r="B101" s="21"/>
      <c r="C101" s="21"/>
      <c r="E101" s="21"/>
      <c r="F101" s="7"/>
      <c r="G101" s="22"/>
    </row>
    <row r="102" ht="15.75" customHeight="1">
      <c r="A102" s="27"/>
      <c r="B102" s="21"/>
      <c r="C102" s="21"/>
      <c r="E102" s="21"/>
      <c r="F102" s="7"/>
      <c r="G102" s="22"/>
    </row>
    <row r="103" ht="15.75" customHeight="1">
      <c r="A103" s="27"/>
      <c r="B103" s="21"/>
      <c r="C103" s="21"/>
      <c r="E103" s="21"/>
      <c r="F103" s="7"/>
      <c r="G103" s="22"/>
    </row>
    <row r="104" ht="15.75" customHeight="1">
      <c r="A104" s="27"/>
      <c r="B104" s="21"/>
      <c r="C104" s="21"/>
      <c r="E104" s="21"/>
      <c r="F104" s="7"/>
      <c r="G104" s="22"/>
    </row>
    <row r="105" ht="15.75" customHeight="1">
      <c r="A105" s="27"/>
      <c r="B105" s="21"/>
      <c r="C105" s="21"/>
      <c r="E105" s="21"/>
      <c r="F105" s="7"/>
      <c r="G105" s="22"/>
    </row>
    <row r="106" ht="15.75" customHeight="1">
      <c r="A106" s="27"/>
      <c r="B106" s="21"/>
      <c r="C106" s="21"/>
      <c r="E106" s="21"/>
      <c r="F106" s="7"/>
      <c r="G106" s="22"/>
    </row>
    <row r="107" ht="15.75" customHeight="1">
      <c r="A107" s="27"/>
      <c r="B107" s="21"/>
      <c r="C107" s="21"/>
      <c r="E107" s="21"/>
      <c r="F107" s="7"/>
      <c r="G107" s="22"/>
    </row>
    <row r="108" ht="15.75" customHeight="1">
      <c r="A108" s="27"/>
      <c r="B108" s="21"/>
      <c r="C108" s="21"/>
      <c r="E108" s="21"/>
      <c r="F108" s="7"/>
      <c r="G108" s="22"/>
    </row>
    <row r="109" ht="15.75" customHeight="1">
      <c r="A109" s="27"/>
      <c r="B109" s="21"/>
      <c r="C109" s="21"/>
      <c r="E109" s="21"/>
      <c r="F109" s="7"/>
      <c r="G109" s="22"/>
    </row>
    <row r="110" ht="15.75" customHeight="1">
      <c r="A110" s="27"/>
      <c r="B110" s="21"/>
      <c r="C110" s="21"/>
      <c r="E110" s="21"/>
      <c r="F110" s="7"/>
      <c r="G110" s="22"/>
    </row>
    <row r="111" ht="15.75" customHeight="1">
      <c r="A111" s="27"/>
      <c r="B111" s="21"/>
      <c r="C111" s="21"/>
      <c r="E111" s="21"/>
      <c r="F111" s="7"/>
      <c r="G111" s="22"/>
    </row>
    <row r="112" ht="15.75" customHeight="1">
      <c r="A112" s="27"/>
      <c r="B112" s="21"/>
      <c r="C112" s="21"/>
      <c r="E112" s="21"/>
      <c r="F112" s="7"/>
      <c r="G112" s="22"/>
    </row>
    <row r="113" ht="15.75" customHeight="1">
      <c r="A113" s="27"/>
      <c r="B113" s="21"/>
      <c r="C113" s="21"/>
      <c r="E113" s="21"/>
      <c r="F113" s="7"/>
      <c r="G113" s="17"/>
    </row>
    <row r="114" ht="15.75" customHeight="1">
      <c r="A114" s="27"/>
      <c r="B114" s="21"/>
      <c r="C114" s="21"/>
      <c r="E114" s="21"/>
      <c r="F114" s="7"/>
      <c r="G114" s="17"/>
    </row>
    <row r="115" ht="15.75" customHeight="1">
      <c r="A115" s="27"/>
      <c r="B115" s="21"/>
      <c r="C115" s="21"/>
      <c r="E115" s="21"/>
      <c r="F115" s="7"/>
      <c r="G115" s="17"/>
    </row>
    <row r="116" ht="15.75" customHeight="1">
      <c r="A116" s="27"/>
      <c r="B116" s="21"/>
      <c r="C116" s="21"/>
      <c r="E116" s="21"/>
      <c r="F116" s="7"/>
      <c r="G116" s="17"/>
    </row>
    <row r="117" ht="15.75" customHeight="1">
      <c r="A117" s="27"/>
      <c r="B117" s="21"/>
      <c r="C117" s="21"/>
      <c r="E117" s="21"/>
      <c r="F117" s="7"/>
      <c r="G117" s="17"/>
    </row>
    <row r="118" ht="15.75" customHeight="1">
      <c r="A118" s="27"/>
      <c r="B118" s="21"/>
      <c r="C118" s="21"/>
      <c r="E118" s="21"/>
      <c r="F118" s="7"/>
      <c r="G118" s="17"/>
    </row>
    <row r="119" ht="15.75" customHeight="1">
      <c r="A119" s="27"/>
      <c r="B119" s="21"/>
      <c r="C119" s="21"/>
      <c r="E119" s="21"/>
      <c r="F119" s="7"/>
      <c r="G119" s="17"/>
    </row>
    <row r="120" ht="15.75" customHeight="1">
      <c r="A120" s="27"/>
      <c r="B120" s="21"/>
      <c r="C120" s="21"/>
      <c r="E120" s="21"/>
      <c r="F120" s="7"/>
      <c r="G120" s="17"/>
    </row>
    <row r="121" ht="15.75" customHeight="1">
      <c r="A121" s="27"/>
      <c r="B121" s="21"/>
      <c r="C121" s="21"/>
      <c r="E121" s="21"/>
      <c r="F121" s="7"/>
      <c r="G121" s="17"/>
    </row>
    <row r="122" ht="15.75" customHeight="1">
      <c r="A122" s="27"/>
      <c r="B122" s="21"/>
      <c r="C122" s="21"/>
      <c r="E122" s="21"/>
      <c r="F122" s="7"/>
      <c r="G122" s="17"/>
    </row>
    <row r="123" ht="15.75" customHeight="1">
      <c r="A123" s="27"/>
      <c r="B123" s="21"/>
      <c r="C123" s="21"/>
      <c r="E123" s="21"/>
      <c r="F123" s="7"/>
      <c r="G123" s="17"/>
    </row>
    <row r="124" ht="15.75" customHeight="1">
      <c r="A124" s="27"/>
      <c r="B124" s="21"/>
      <c r="C124" s="21"/>
      <c r="E124" s="21"/>
      <c r="F124" s="7"/>
      <c r="G124" s="17"/>
    </row>
    <row r="125" ht="15.75" customHeight="1">
      <c r="A125" s="27"/>
      <c r="B125" s="21"/>
      <c r="C125" s="21"/>
      <c r="E125" s="21"/>
      <c r="F125" s="7"/>
      <c r="G125" s="17"/>
    </row>
    <row r="126" ht="15.75" customHeight="1">
      <c r="A126" s="27"/>
      <c r="B126" s="21"/>
      <c r="C126" s="21"/>
      <c r="E126" s="21"/>
      <c r="F126" s="7"/>
      <c r="G126" s="17"/>
    </row>
    <row r="127" ht="15.75" customHeight="1">
      <c r="A127" s="27"/>
      <c r="B127" s="21"/>
      <c r="C127" s="21"/>
      <c r="E127" s="21"/>
      <c r="F127" s="7"/>
      <c r="G127" s="17"/>
    </row>
    <row r="128" ht="15.75" customHeight="1">
      <c r="A128" s="27"/>
      <c r="B128" s="21"/>
      <c r="C128" s="21"/>
      <c r="E128" s="21"/>
      <c r="F128" s="7"/>
      <c r="G128" s="17"/>
    </row>
    <row r="129" ht="15.75" customHeight="1">
      <c r="A129" s="27"/>
      <c r="B129" s="21"/>
      <c r="C129" s="21"/>
      <c r="E129" s="21"/>
      <c r="F129" s="10"/>
      <c r="G129" s="17"/>
    </row>
    <row r="130" ht="15.75" customHeight="1">
      <c r="A130" s="27"/>
      <c r="B130" s="21"/>
      <c r="C130" s="21"/>
      <c r="E130" s="21"/>
      <c r="F130" s="10"/>
      <c r="G130" s="17"/>
    </row>
    <row r="131" ht="15.75" customHeight="1">
      <c r="A131" s="27"/>
      <c r="B131" s="21"/>
      <c r="C131" s="21"/>
      <c r="E131" s="21"/>
      <c r="F131" s="10"/>
      <c r="G131" s="17"/>
    </row>
    <row r="132" ht="15.75" customHeight="1">
      <c r="A132" s="27"/>
      <c r="B132" s="21"/>
      <c r="C132" s="21"/>
      <c r="E132" s="21"/>
      <c r="F132" s="10"/>
      <c r="G132" s="17"/>
    </row>
    <row r="133" ht="15.75" customHeight="1">
      <c r="A133" s="27"/>
      <c r="B133" s="21"/>
      <c r="C133" s="21"/>
      <c r="E133" s="21"/>
      <c r="F133" s="10"/>
      <c r="G133" s="17"/>
    </row>
    <row r="134" ht="15.75" customHeight="1">
      <c r="A134" s="27"/>
      <c r="B134" s="21"/>
      <c r="C134" s="21"/>
      <c r="E134" s="21"/>
      <c r="F134" s="10"/>
      <c r="G134" s="17"/>
    </row>
    <row r="135" ht="15.75" customHeight="1">
      <c r="A135" s="27"/>
      <c r="B135" s="21"/>
      <c r="C135" s="21"/>
      <c r="E135" s="21"/>
      <c r="F135" s="10"/>
      <c r="G135" s="17"/>
    </row>
    <row r="136" ht="15.75" customHeight="1">
      <c r="A136" s="27"/>
      <c r="B136" s="21"/>
      <c r="C136" s="21"/>
      <c r="E136" s="21"/>
      <c r="F136" s="10"/>
      <c r="G136" s="17"/>
    </row>
    <row r="137" ht="15.75" customHeight="1">
      <c r="A137" s="27"/>
      <c r="B137" s="21"/>
      <c r="C137" s="21"/>
      <c r="E137" s="21"/>
      <c r="F137" s="10"/>
      <c r="G137" s="17"/>
    </row>
    <row r="138" ht="15.75" customHeight="1">
      <c r="A138" s="27"/>
      <c r="B138" s="21"/>
      <c r="C138" s="21"/>
      <c r="E138" s="21"/>
      <c r="F138" s="10"/>
      <c r="G138" s="17"/>
    </row>
    <row r="139" ht="15.75" customHeight="1">
      <c r="A139" s="27"/>
      <c r="B139" s="21"/>
      <c r="C139" s="21"/>
      <c r="E139" s="21"/>
      <c r="F139" s="10"/>
      <c r="G139" s="17"/>
    </row>
    <row r="140" ht="15.75" customHeight="1">
      <c r="A140" s="27"/>
      <c r="B140" s="21"/>
      <c r="C140" s="21"/>
      <c r="E140" s="21"/>
      <c r="F140" s="10"/>
      <c r="G140" s="17"/>
    </row>
    <row r="141" ht="15.75" customHeight="1">
      <c r="A141" s="27"/>
      <c r="B141" s="21"/>
      <c r="C141" s="21"/>
      <c r="E141" s="21"/>
      <c r="F141" s="10"/>
      <c r="G141" s="17"/>
    </row>
    <row r="142" ht="15.75" customHeight="1">
      <c r="A142" s="27"/>
      <c r="B142" s="21"/>
      <c r="C142" s="21"/>
      <c r="E142" s="21"/>
      <c r="F142" s="10"/>
      <c r="G142" s="17"/>
    </row>
    <row r="143" ht="15.75" customHeight="1">
      <c r="A143" s="27"/>
      <c r="B143" s="21"/>
      <c r="C143" s="21"/>
      <c r="E143" s="21"/>
      <c r="F143" s="10"/>
      <c r="G143" s="17"/>
    </row>
    <row r="144" ht="15.75" customHeight="1">
      <c r="A144" s="27"/>
      <c r="B144" s="21"/>
      <c r="C144" s="21"/>
      <c r="E144" s="21"/>
      <c r="F144" s="10"/>
      <c r="G144" s="17"/>
    </row>
    <row r="145" ht="15.75" customHeight="1">
      <c r="A145" s="27"/>
      <c r="B145" s="21"/>
      <c r="C145" s="21"/>
      <c r="E145" s="21"/>
      <c r="F145" s="10"/>
      <c r="G145" s="17"/>
    </row>
    <row r="146" ht="15.75" customHeight="1">
      <c r="A146" s="27"/>
      <c r="B146" s="21"/>
      <c r="C146" s="21"/>
      <c r="E146" s="21"/>
      <c r="F146" s="10"/>
      <c r="G146" s="17"/>
    </row>
    <row r="147" ht="15.75" customHeight="1">
      <c r="A147" s="27"/>
      <c r="B147" s="21"/>
      <c r="C147" s="21"/>
      <c r="E147" s="21"/>
      <c r="F147" s="10"/>
      <c r="G147" s="17"/>
    </row>
    <row r="148" ht="15.75" customHeight="1">
      <c r="A148" s="27"/>
      <c r="B148" s="21"/>
      <c r="C148" s="21"/>
      <c r="E148" s="21"/>
      <c r="F148" s="10"/>
      <c r="G148" s="17"/>
    </row>
    <row r="149" ht="15.75" customHeight="1">
      <c r="A149" s="27"/>
      <c r="B149" s="21"/>
      <c r="C149" s="21"/>
      <c r="E149" s="21"/>
      <c r="F149" s="10"/>
      <c r="G149" s="17"/>
    </row>
    <row r="150" ht="15.75" customHeight="1">
      <c r="A150" s="27"/>
      <c r="B150" s="21"/>
      <c r="C150" s="21"/>
      <c r="E150" s="21"/>
      <c r="F150" s="10"/>
      <c r="G150" s="17"/>
    </row>
    <row r="151" ht="15.75" customHeight="1">
      <c r="A151" s="27"/>
      <c r="B151" s="21"/>
      <c r="C151" s="21"/>
      <c r="E151" s="21"/>
      <c r="F151" s="10"/>
      <c r="G151" s="17"/>
    </row>
    <row r="152" ht="15.75" customHeight="1">
      <c r="A152" s="27"/>
      <c r="B152" s="21"/>
      <c r="C152" s="21"/>
      <c r="E152" s="21"/>
      <c r="F152" s="10"/>
      <c r="G152" s="17"/>
    </row>
    <row r="153" ht="15.75" customHeight="1">
      <c r="A153" s="27"/>
      <c r="B153" s="21"/>
      <c r="C153" s="21"/>
      <c r="E153" s="21"/>
      <c r="F153" s="10"/>
      <c r="G153" s="17"/>
    </row>
    <row r="154" ht="15.75" customHeight="1">
      <c r="A154" s="27"/>
      <c r="B154" s="21"/>
      <c r="C154" s="21"/>
      <c r="E154" s="21"/>
      <c r="F154" s="10"/>
      <c r="G154" s="17"/>
    </row>
    <row r="155" ht="15.75" customHeight="1">
      <c r="A155" s="27"/>
      <c r="B155" s="21"/>
      <c r="C155" s="21"/>
      <c r="E155" s="21"/>
      <c r="F155" s="10"/>
      <c r="G155" s="17"/>
    </row>
    <row r="156" ht="15.75" customHeight="1">
      <c r="A156" s="27"/>
      <c r="B156" s="21"/>
      <c r="C156" s="21"/>
      <c r="E156" s="21"/>
      <c r="F156" s="10"/>
      <c r="G156" s="17"/>
    </row>
    <row r="157" ht="15.75" customHeight="1">
      <c r="A157" s="27"/>
      <c r="B157" s="21"/>
      <c r="C157" s="21"/>
      <c r="E157" s="21"/>
      <c r="F157" s="10"/>
      <c r="G157" s="17"/>
    </row>
    <row r="158" ht="15.75" customHeight="1">
      <c r="A158" s="27"/>
      <c r="B158" s="21"/>
      <c r="C158" s="21"/>
      <c r="E158" s="21"/>
      <c r="F158" s="10"/>
      <c r="G158" s="17"/>
    </row>
    <row r="159" ht="15.75" customHeight="1">
      <c r="A159" s="27"/>
      <c r="B159" s="21"/>
      <c r="C159" s="21"/>
      <c r="E159" s="21"/>
      <c r="F159" s="10"/>
      <c r="G159" s="17"/>
    </row>
    <row r="160" ht="15.75" customHeight="1">
      <c r="A160" s="27"/>
      <c r="B160" s="21"/>
      <c r="C160" s="21"/>
      <c r="E160" s="21"/>
      <c r="F160" s="10"/>
      <c r="G160" s="17"/>
    </row>
    <row r="161" ht="15.75" customHeight="1">
      <c r="A161" s="27"/>
      <c r="B161" s="21"/>
      <c r="C161" s="21"/>
      <c r="E161" s="21"/>
      <c r="F161" s="10"/>
      <c r="G161" s="17"/>
    </row>
    <row r="162" ht="15.75" customHeight="1">
      <c r="A162" s="27"/>
      <c r="B162" s="21"/>
      <c r="C162" s="21"/>
      <c r="E162" s="21"/>
      <c r="F162" s="10"/>
      <c r="G162" s="17"/>
    </row>
    <row r="163" ht="15.75" customHeight="1">
      <c r="A163" s="27"/>
      <c r="B163" s="21"/>
      <c r="C163" s="21"/>
      <c r="E163" s="21"/>
      <c r="F163" s="10"/>
      <c r="G163" s="17"/>
    </row>
    <row r="164" ht="15.75" customHeight="1">
      <c r="A164" s="27"/>
      <c r="B164" s="21"/>
      <c r="C164" s="21"/>
      <c r="E164" s="21"/>
      <c r="F164" s="10"/>
      <c r="G164" s="17"/>
    </row>
    <row r="165" ht="15.75" customHeight="1">
      <c r="A165" s="27"/>
      <c r="B165" s="21"/>
      <c r="C165" s="21"/>
      <c r="E165" s="21"/>
      <c r="F165" s="10"/>
      <c r="G165" s="17"/>
    </row>
    <row r="166" ht="15.75" customHeight="1">
      <c r="A166" s="27"/>
      <c r="B166" s="21"/>
      <c r="C166" s="21"/>
      <c r="E166" s="21"/>
      <c r="F166" s="10"/>
      <c r="G166" s="17"/>
    </row>
    <row r="167" ht="15.75" customHeight="1">
      <c r="A167" s="27"/>
      <c r="B167" s="21"/>
      <c r="C167" s="21"/>
      <c r="E167" s="21"/>
      <c r="F167" s="10"/>
      <c r="G167" s="17"/>
    </row>
    <row r="168" ht="15.75" customHeight="1">
      <c r="A168" s="27"/>
      <c r="B168" s="21"/>
      <c r="C168" s="21"/>
      <c r="E168" s="21"/>
      <c r="F168" s="10"/>
      <c r="G168" s="17"/>
    </row>
    <row r="169" ht="15.75" customHeight="1">
      <c r="A169" s="27"/>
      <c r="B169" s="21"/>
      <c r="C169" s="21"/>
      <c r="E169" s="21"/>
      <c r="F169" s="10"/>
      <c r="G169" s="17"/>
    </row>
    <row r="170" ht="15.75" customHeight="1">
      <c r="A170" s="27"/>
      <c r="B170" s="21"/>
      <c r="C170" s="21"/>
      <c r="E170" s="21"/>
      <c r="F170" s="10"/>
      <c r="G170" s="17"/>
    </row>
    <row r="171" ht="15.75" customHeight="1">
      <c r="A171" s="27"/>
      <c r="B171" s="21"/>
      <c r="C171" s="21"/>
      <c r="E171" s="21"/>
      <c r="F171" s="10"/>
      <c r="G171" s="17"/>
    </row>
    <row r="172" ht="15.75" customHeight="1">
      <c r="A172" s="27"/>
      <c r="B172" s="21"/>
      <c r="C172" s="21"/>
      <c r="E172" s="21"/>
      <c r="F172" s="10"/>
      <c r="G172" s="17"/>
    </row>
    <row r="173" ht="15.75" customHeight="1">
      <c r="A173" s="27"/>
      <c r="B173" s="21"/>
      <c r="C173" s="21"/>
      <c r="E173" s="21"/>
      <c r="F173" s="10"/>
      <c r="G173" s="17"/>
    </row>
    <row r="174" ht="15.75" customHeight="1">
      <c r="A174" s="27"/>
      <c r="B174" s="21"/>
      <c r="C174" s="21"/>
      <c r="E174" s="21"/>
      <c r="F174" s="10"/>
      <c r="G174" s="17"/>
    </row>
    <row r="175" ht="15.75" customHeight="1">
      <c r="A175" s="27"/>
      <c r="B175" s="21"/>
      <c r="C175" s="21"/>
      <c r="E175" s="21"/>
      <c r="F175" s="10"/>
      <c r="G175" s="17"/>
    </row>
    <row r="176" ht="15.75" customHeight="1">
      <c r="A176" s="27"/>
      <c r="B176" s="21"/>
      <c r="C176" s="21"/>
      <c r="E176" s="21"/>
      <c r="F176" s="10"/>
      <c r="G176" s="17"/>
    </row>
    <row r="177" ht="15.75" customHeight="1">
      <c r="A177" s="27"/>
      <c r="B177" s="21"/>
      <c r="C177" s="21"/>
      <c r="E177" s="21"/>
      <c r="F177" s="10"/>
      <c r="G177" s="17"/>
    </row>
    <row r="178" ht="15.75" customHeight="1">
      <c r="A178" s="27"/>
      <c r="B178" s="21"/>
      <c r="C178" s="21"/>
      <c r="E178" s="21"/>
      <c r="F178" s="10"/>
      <c r="G178" s="17"/>
    </row>
    <row r="179" ht="15.75" customHeight="1">
      <c r="A179" s="27"/>
      <c r="B179" s="21"/>
      <c r="C179" s="21"/>
      <c r="E179" s="21"/>
      <c r="F179" s="10"/>
      <c r="G179" s="17"/>
    </row>
    <row r="180" ht="15.75" customHeight="1">
      <c r="A180" s="27"/>
      <c r="B180" s="21"/>
      <c r="C180" s="21"/>
      <c r="E180" s="21"/>
      <c r="F180" s="10"/>
      <c r="G180" s="17"/>
    </row>
    <row r="181" ht="15.75" customHeight="1">
      <c r="A181" s="27"/>
      <c r="B181" s="21"/>
      <c r="C181" s="21"/>
      <c r="E181" s="21"/>
      <c r="F181" s="10"/>
      <c r="G181" s="17"/>
    </row>
    <row r="182" ht="15.75" customHeight="1">
      <c r="A182" s="27"/>
      <c r="B182" s="21"/>
      <c r="C182" s="21"/>
      <c r="E182" s="21"/>
      <c r="F182" s="10"/>
      <c r="G182" s="17"/>
    </row>
    <row r="183" ht="15.75" customHeight="1">
      <c r="A183" s="27"/>
      <c r="B183" s="21"/>
      <c r="C183" s="21"/>
      <c r="E183" s="21"/>
      <c r="F183" s="10"/>
      <c r="G183" s="17"/>
    </row>
    <row r="184" ht="15.75" customHeight="1">
      <c r="A184" s="27"/>
      <c r="B184" s="21"/>
      <c r="C184" s="21"/>
      <c r="E184" s="21"/>
      <c r="F184" s="10"/>
      <c r="G184" s="17"/>
    </row>
    <row r="185" ht="15.75" customHeight="1">
      <c r="A185" s="27"/>
      <c r="B185" s="21"/>
      <c r="C185" s="21"/>
      <c r="E185" s="21"/>
      <c r="F185" s="10"/>
      <c r="G185" s="17"/>
    </row>
    <row r="186" ht="15.75" customHeight="1">
      <c r="A186" s="27"/>
      <c r="B186" s="21"/>
      <c r="C186" s="21"/>
      <c r="E186" s="21"/>
      <c r="F186" s="10"/>
      <c r="G186" s="17"/>
    </row>
    <row r="187" ht="15.75" customHeight="1">
      <c r="A187" s="27"/>
      <c r="B187" s="21"/>
      <c r="C187" s="21"/>
      <c r="E187" s="21"/>
      <c r="F187" s="10"/>
      <c r="G187" s="17"/>
    </row>
    <row r="188" ht="15.75" customHeight="1">
      <c r="A188" s="27"/>
      <c r="B188" s="21"/>
      <c r="C188" s="21"/>
      <c r="E188" s="21"/>
      <c r="F188" s="10"/>
      <c r="G188" s="17"/>
    </row>
    <row r="189" ht="15.75" customHeight="1">
      <c r="A189" s="27"/>
      <c r="B189" s="21"/>
      <c r="C189" s="21"/>
      <c r="E189" s="21"/>
      <c r="F189" s="10"/>
      <c r="G189" s="17"/>
    </row>
    <row r="190" ht="15.75" customHeight="1">
      <c r="A190" s="27"/>
      <c r="B190" s="21"/>
      <c r="C190" s="21"/>
      <c r="E190" s="21"/>
      <c r="F190" s="10"/>
      <c r="G190" s="17"/>
    </row>
    <row r="191" ht="15.75" customHeight="1">
      <c r="A191" s="27"/>
      <c r="B191" s="21"/>
      <c r="C191" s="21"/>
      <c r="E191" s="21"/>
      <c r="F191" s="10"/>
      <c r="G191" s="17"/>
    </row>
    <row r="192" ht="15.75" customHeight="1">
      <c r="A192" s="27"/>
      <c r="B192" s="21"/>
      <c r="C192" s="21"/>
      <c r="E192" s="21"/>
      <c r="F192" s="10"/>
      <c r="G192" s="17"/>
    </row>
    <row r="193" ht="15.75" customHeight="1">
      <c r="A193" s="27"/>
      <c r="B193" s="21"/>
      <c r="C193" s="21"/>
      <c r="E193" s="21"/>
      <c r="F193" s="10"/>
      <c r="G193" s="17"/>
    </row>
    <row r="194" ht="15.75" customHeight="1">
      <c r="A194" s="27"/>
      <c r="B194" s="21"/>
      <c r="C194" s="21"/>
      <c r="E194" s="21"/>
      <c r="F194" s="10"/>
      <c r="G194" s="17"/>
    </row>
    <row r="195" ht="15.75" customHeight="1">
      <c r="A195" s="27"/>
      <c r="B195" s="21"/>
      <c r="C195" s="21"/>
      <c r="E195" s="21"/>
      <c r="F195" s="10"/>
      <c r="G195" s="17"/>
    </row>
    <row r="196" ht="15.75" customHeight="1">
      <c r="A196" s="27"/>
      <c r="B196" s="21"/>
      <c r="C196" s="21"/>
      <c r="E196" s="21"/>
      <c r="F196" s="10"/>
      <c r="G196" s="17"/>
    </row>
    <row r="197" ht="15.75" customHeight="1">
      <c r="A197" s="27"/>
      <c r="B197" s="21"/>
      <c r="C197" s="21"/>
      <c r="E197" s="21"/>
      <c r="F197" s="10"/>
      <c r="G197" s="17"/>
    </row>
    <row r="198" ht="15.75" customHeight="1">
      <c r="A198" s="27"/>
      <c r="B198" s="21"/>
      <c r="C198" s="21"/>
      <c r="E198" s="21"/>
      <c r="F198" s="10"/>
      <c r="G198" s="17"/>
    </row>
    <row r="199" ht="15.75" customHeight="1">
      <c r="A199" s="27"/>
      <c r="B199" s="21"/>
      <c r="C199" s="21"/>
      <c r="E199" s="21"/>
      <c r="F199" s="10"/>
      <c r="G199" s="17"/>
    </row>
    <row r="200" ht="15.75" customHeight="1">
      <c r="A200" s="27"/>
      <c r="B200" s="21"/>
      <c r="C200" s="21"/>
      <c r="E200" s="21"/>
      <c r="F200" s="10"/>
      <c r="G200" s="17"/>
    </row>
    <row r="201" ht="15.75" customHeight="1">
      <c r="A201" s="27"/>
      <c r="B201" s="21"/>
      <c r="C201" s="21"/>
      <c r="E201" s="21"/>
      <c r="F201" s="10"/>
      <c r="G201" s="17"/>
    </row>
    <row r="202" ht="15.75" customHeight="1">
      <c r="A202" s="27"/>
      <c r="B202" s="21"/>
      <c r="C202" s="21"/>
      <c r="E202" s="21"/>
      <c r="F202" s="10"/>
      <c r="G202" s="17"/>
    </row>
    <row r="203" ht="15.75" customHeight="1">
      <c r="F203" s="18"/>
    </row>
    <row r="204" ht="15.75" customHeight="1">
      <c r="F204" s="18"/>
    </row>
    <row r="205" ht="15.75" customHeight="1">
      <c r="F205" s="18"/>
    </row>
    <row r="206" ht="15.75" customHeight="1">
      <c r="F206" s="18"/>
    </row>
    <row r="207" ht="15.75" customHeight="1">
      <c r="F207" s="18"/>
    </row>
    <row r="208" ht="15.75" customHeight="1">
      <c r="F208" s="18"/>
    </row>
    <row r="209" ht="15.75" customHeight="1">
      <c r="F209" s="18"/>
    </row>
    <row r="210" ht="15.75" customHeight="1">
      <c r="F210" s="18"/>
    </row>
    <row r="211" ht="15.75" customHeight="1">
      <c r="F211" s="18"/>
    </row>
    <row r="212" ht="15.75" customHeight="1">
      <c r="F212" s="18"/>
    </row>
    <row r="213" ht="15.75" customHeight="1">
      <c r="F213" s="18"/>
    </row>
    <row r="214" ht="15.75" customHeight="1">
      <c r="F214" s="18"/>
    </row>
    <row r="215" ht="15.75" customHeight="1">
      <c r="F215" s="18"/>
    </row>
    <row r="216" ht="15.75" customHeight="1">
      <c r="F216" s="18"/>
    </row>
    <row r="217" ht="15.75" customHeight="1">
      <c r="F217" s="18"/>
    </row>
    <row r="218" ht="15.75" customHeight="1">
      <c r="F218" s="18"/>
    </row>
    <row r="219" ht="15.75" customHeight="1">
      <c r="F219" s="18"/>
    </row>
    <row r="220" ht="15.75" customHeight="1">
      <c r="F220" s="18"/>
    </row>
    <row r="221" ht="15.75" customHeight="1">
      <c r="F221" s="18"/>
    </row>
    <row r="222" ht="15.75" customHeight="1">
      <c r="F222" s="18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E2:E202">
      <formula1>"Activo,Finalizado,Cancelado"</formula1>
    </dataValidation>
    <dataValidation type="custom" allowBlank="1" showDropDown="1" sqref="A2:A202">
      <formula1>OR(NOT(ISERROR(DATEVALUE(A2))), AND(ISNUMBER(A2), LEFT(CELL("format", A2))="D"))</formula1>
    </dataValidation>
    <dataValidation type="list" allowBlank="1" sqref="B2:B202">
      <formula1>"Fijo,Variable"</formula1>
    </dataValidation>
    <dataValidation type="custom" allowBlank="1" showDropDown="1" sqref="F2:G202">
      <formula1>AND(ISNUMBER(F2),(NOT(OR(NOT(ISERROR(DATEVALUE(F2))), AND(ISNUMBER(F2), LEFT(CELL("format", F2))="D")))))</formula1>
    </dataValidation>
    <dataValidation type="list" allowBlank="1" sqref="C2:C202">
      <formula1>"Marketing,Herramientas/Software,Hardware,Infra/Cloud,Hosting/Dominios,Email,Publicidad (ads),Sueldos/Honorarios,Contabilidad/Legal,Viajes/Viáticos,Prospección/Demos,Otros"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7.14"/>
    <col customWidth="1" min="2" max="2" width="19.71"/>
    <col customWidth="1" min="3" max="3" width="12.43"/>
    <col customWidth="1" min="4" max="4" width="27.86"/>
    <col customWidth="1" min="5" max="6" width="26.29"/>
  </cols>
  <sheetData>
    <row r="1">
      <c r="A1" s="28" t="s">
        <v>77</v>
      </c>
      <c r="B1" s="29">
        <v>46082.0</v>
      </c>
      <c r="E1" s="30" t="s">
        <v>78</v>
      </c>
    </row>
    <row r="2">
      <c r="A2" s="31"/>
      <c r="B2" s="31"/>
    </row>
    <row r="3">
      <c r="A3" s="32" t="s">
        <v>79</v>
      </c>
      <c r="B3" s="33">
        <v>2000.0</v>
      </c>
      <c r="C3" s="34" t="s">
        <v>80</v>
      </c>
    </row>
    <row r="4">
      <c r="A4" s="35" t="s">
        <v>81</v>
      </c>
      <c r="B4" s="36">
        <v>4000.0</v>
      </c>
      <c r="C4" s="34" t="s">
        <v>82</v>
      </c>
    </row>
    <row r="5">
      <c r="A5" s="37" t="s">
        <v>83</v>
      </c>
      <c r="B5" s="38">
        <f>SUM(Ingresos!F:F) - SUM(Gastos!G:G) - B3 - B4</f>
        <v>16451.30148</v>
      </c>
    </row>
    <row r="6">
      <c r="A6" s="39"/>
      <c r="B6" s="40"/>
    </row>
    <row r="7">
      <c r="A7" s="37" t="s">
        <v>84</v>
      </c>
      <c r="B7" s="38">
        <f>SUMIFS(Gastos!G:G, Gastos!A:A, "&gt;="&amp;EOMONTH($B$1,-1)+1, Gastos!A:A, "&lt;="&amp;EOMONTH($B$1,0), Gastos!C:C, "Sueldos/Honorarios")</f>
        <v>0</v>
      </c>
    </row>
    <row r="8">
      <c r="A8" s="41"/>
    </row>
    <row r="9">
      <c r="A9" s="41"/>
    </row>
    <row r="10">
      <c r="A10" s="41"/>
    </row>
    <row r="11">
      <c r="A11" s="41"/>
    </row>
    <row r="12">
      <c r="A12" s="41"/>
    </row>
    <row r="13">
      <c r="A13" s="41"/>
    </row>
    <row r="14">
      <c r="A14" s="41"/>
    </row>
    <row r="15">
      <c r="A15" s="41"/>
    </row>
    <row r="16">
      <c r="A16" s="41"/>
    </row>
    <row r="17">
      <c r="A17" s="41"/>
    </row>
    <row r="18">
      <c r="A18" s="41"/>
    </row>
    <row r="19">
      <c r="A19" s="41"/>
    </row>
    <row r="20">
      <c r="A20" s="41"/>
    </row>
    <row r="21">
      <c r="A21" s="41"/>
    </row>
    <row r="22">
      <c r="A22" s="41"/>
    </row>
    <row r="23">
      <c r="A23" s="41"/>
    </row>
    <row r="24">
      <c r="A24" s="41"/>
    </row>
    <row r="25">
      <c r="A25" s="41"/>
    </row>
    <row r="26">
      <c r="A26" s="41"/>
    </row>
    <row r="27">
      <c r="A27" s="41"/>
    </row>
    <row r="28">
      <c r="A28" s="41"/>
    </row>
    <row r="29">
      <c r="A29" s="41"/>
    </row>
    <row r="30">
      <c r="A30" s="41"/>
    </row>
    <row r="31">
      <c r="A31" s="41"/>
    </row>
    <row r="32">
      <c r="A32" s="41"/>
    </row>
    <row r="33">
      <c r="A33" s="41"/>
    </row>
    <row r="34">
      <c r="A34" s="41"/>
    </row>
    <row r="35">
      <c r="A35" s="41"/>
    </row>
    <row r="36">
      <c r="A36" s="41"/>
    </row>
    <row r="37">
      <c r="A37" s="41"/>
    </row>
    <row r="38">
      <c r="A38" s="41"/>
    </row>
    <row r="39">
      <c r="A39" s="41"/>
    </row>
    <row r="40">
      <c r="A40" s="41"/>
    </row>
    <row r="41">
      <c r="A41" s="41"/>
    </row>
    <row r="42">
      <c r="A42" s="41"/>
    </row>
    <row r="43">
      <c r="A43" s="41"/>
    </row>
    <row r="44">
      <c r="A44" s="41"/>
    </row>
    <row r="45">
      <c r="A45" s="41"/>
    </row>
    <row r="46">
      <c r="A46" s="41"/>
    </row>
    <row r="47">
      <c r="A47" s="41"/>
    </row>
    <row r="48">
      <c r="A48" s="41"/>
    </row>
    <row r="49">
      <c r="A49" s="41"/>
    </row>
    <row r="50">
      <c r="A50" s="41"/>
    </row>
    <row r="51">
      <c r="A51" s="41"/>
    </row>
    <row r="52">
      <c r="A52" s="41"/>
    </row>
    <row r="53">
      <c r="A53" s="41"/>
    </row>
    <row r="54">
      <c r="A54" s="41"/>
    </row>
    <row r="55">
      <c r="A55" s="41"/>
    </row>
    <row r="56">
      <c r="A56" s="41"/>
    </row>
    <row r="57">
      <c r="A57" s="41"/>
    </row>
    <row r="58">
      <c r="A58" s="41"/>
    </row>
    <row r="59">
      <c r="A59" s="41"/>
    </row>
    <row r="60">
      <c r="A60" s="41"/>
    </row>
    <row r="61">
      <c r="A61" s="41"/>
    </row>
    <row r="62">
      <c r="A62" s="41"/>
    </row>
    <row r="63">
      <c r="A63" s="41"/>
    </row>
    <row r="64">
      <c r="A64" s="41"/>
    </row>
    <row r="65">
      <c r="A65" s="41"/>
    </row>
    <row r="66">
      <c r="A66" s="41"/>
    </row>
    <row r="67">
      <c r="A67" s="41"/>
    </row>
    <row r="68">
      <c r="A68" s="41"/>
    </row>
    <row r="69">
      <c r="A69" s="41"/>
    </row>
    <row r="70">
      <c r="A70" s="41"/>
    </row>
    <row r="71">
      <c r="A71" s="41"/>
    </row>
    <row r="72">
      <c r="A72" s="41"/>
    </row>
    <row r="73">
      <c r="A73" s="41"/>
    </row>
    <row r="74">
      <c r="A74" s="41"/>
    </row>
    <row r="75">
      <c r="A75" s="41"/>
    </row>
    <row r="76">
      <c r="A76" s="41"/>
    </row>
    <row r="77">
      <c r="A77" s="41"/>
    </row>
    <row r="78">
      <c r="A78" s="41"/>
    </row>
    <row r="79">
      <c r="A79" s="41"/>
    </row>
    <row r="80">
      <c r="A80" s="41"/>
    </row>
    <row r="81">
      <c r="A81" s="41"/>
    </row>
    <row r="82">
      <c r="A82" s="41"/>
    </row>
    <row r="83">
      <c r="A83" s="41"/>
    </row>
    <row r="84">
      <c r="A84" s="41"/>
    </row>
    <row r="85">
      <c r="A85" s="41"/>
    </row>
    <row r="86">
      <c r="A86" s="41"/>
    </row>
    <row r="87">
      <c r="A87" s="41"/>
    </row>
    <row r="88">
      <c r="A88" s="41"/>
    </row>
    <row r="89">
      <c r="A89" s="41"/>
    </row>
    <row r="90">
      <c r="A90" s="41"/>
    </row>
    <row r="91">
      <c r="A91" s="41"/>
    </row>
    <row r="92">
      <c r="A92" s="41"/>
    </row>
    <row r="93">
      <c r="A93" s="41"/>
    </row>
    <row r="94">
      <c r="A94" s="41"/>
    </row>
    <row r="95">
      <c r="A95" s="41"/>
    </row>
    <row r="96">
      <c r="A96" s="41"/>
    </row>
    <row r="97">
      <c r="A97" s="41"/>
    </row>
    <row r="98">
      <c r="A98" s="41"/>
    </row>
    <row r="99">
      <c r="A99" s="41"/>
    </row>
    <row r="100">
      <c r="A100" s="41"/>
    </row>
    <row r="101">
      <c r="A101" s="41"/>
    </row>
    <row r="102">
      <c r="A102" s="41"/>
    </row>
    <row r="103">
      <c r="A103" s="41"/>
    </row>
    <row r="104">
      <c r="A104" s="41"/>
    </row>
    <row r="105">
      <c r="A105" s="41"/>
    </row>
    <row r="106">
      <c r="A106" s="41"/>
    </row>
    <row r="107">
      <c r="A107" s="41"/>
    </row>
    <row r="108">
      <c r="A108" s="41"/>
    </row>
    <row r="109">
      <c r="A109" s="41"/>
    </row>
    <row r="110">
      <c r="A110" s="41"/>
    </row>
    <row r="111">
      <c r="A111" s="41"/>
    </row>
    <row r="112">
      <c r="A112" s="41"/>
    </row>
    <row r="113">
      <c r="A113" s="41"/>
    </row>
    <row r="114">
      <c r="A114" s="41"/>
    </row>
    <row r="115">
      <c r="A115" s="41"/>
    </row>
    <row r="116">
      <c r="A116" s="41"/>
    </row>
    <row r="117">
      <c r="A117" s="41"/>
    </row>
    <row r="118">
      <c r="A118" s="41"/>
    </row>
    <row r="119">
      <c r="A119" s="41"/>
    </row>
    <row r="120">
      <c r="A120" s="41"/>
    </row>
    <row r="121">
      <c r="A121" s="41"/>
    </row>
    <row r="122">
      <c r="A122" s="41"/>
    </row>
    <row r="123">
      <c r="A123" s="41"/>
    </row>
    <row r="124">
      <c r="A124" s="41"/>
    </row>
    <row r="125">
      <c r="A125" s="41"/>
    </row>
    <row r="126">
      <c r="A126" s="41"/>
    </row>
    <row r="127">
      <c r="A127" s="41"/>
    </row>
    <row r="128">
      <c r="A128" s="41"/>
    </row>
    <row r="129">
      <c r="A129" s="41"/>
    </row>
    <row r="130">
      <c r="A130" s="41"/>
    </row>
    <row r="131">
      <c r="A131" s="41"/>
    </row>
    <row r="132">
      <c r="A132" s="41"/>
    </row>
    <row r="133">
      <c r="A133" s="41"/>
    </row>
    <row r="134">
      <c r="A134" s="41"/>
    </row>
    <row r="135">
      <c r="A135" s="41"/>
    </row>
    <row r="136">
      <c r="A136" s="41"/>
    </row>
    <row r="137">
      <c r="A137" s="41"/>
    </row>
    <row r="138">
      <c r="A138" s="41"/>
    </row>
    <row r="139">
      <c r="A139" s="41"/>
    </row>
    <row r="140">
      <c r="A140" s="41"/>
    </row>
    <row r="141">
      <c r="A141" s="41"/>
    </row>
    <row r="142">
      <c r="A142" s="41"/>
    </row>
    <row r="143">
      <c r="A143" s="41"/>
    </row>
    <row r="144">
      <c r="A144" s="41"/>
    </row>
    <row r="145">
      <c r="A145" s="41"/>
    </row>
    <row r="146">
      <c r="A146" s="41"/>
    </row>
    <row r="147">
      <c r="A147" s="41"/>
    </row>
    <row r="148">
      <c r="A148" s="41"/>
    </row>
    <row r="149">
      <c r="A149" s="41"/>
    </row>
    <row r="150">
      <c r="A150" s="41"/>
    </row>
    <row r="151">
      <c r="A151" s="41"/>
    </row>
    <row r="152">
      <c r="A152" s="41"/>
    </row>
    <row r="153">
      <c r="A153" s="41"/>
    </row>
    <row r="154">
      <c r="A154" s="41"/>
    </row>
    <row r="155">
      <c r="A155" s="41"/>
    </row>
    <row r="156">
      <c r="A156" s="41"/>
    </row>
    <row r="157">
      <c r="A157" s="41"/>
    </row>
    <row r="158">
      <c r="A158" s="41"/>
    </row>
    <row r="159">
      <c r="A159" s="41"/>
    </row>
    <row r="160">
      <c r="A160" s="41"/>
    </row>
    <row r="161">
      <c r="A161" s="41"/>
    </row>
    <row r="162">
      <c r="A162" s="41"/>
    </row>
    <row r="163">
      <c r="A163" s="41"/>
    </row>
    <row r="164">
      <c r="A164" s="41"/>
    </row>
    <row r="165">
      <c r="A165" s="41"/>
    </row>
    <row r="166">
      <c r="A166" s="41"/>
    </row>
    <row r="167">
      <c r="A167" s="41"/>
    </row>
    <row r="168">
      <c r="A168" s="41"/>
    </row>
    <row r="169">
      <c r="A169" s="41"/>
    </row>
    <row r="170">
      <c r="A170" s="41"/>
    </row>
    <row r="171">
      <c r="A171" s="41"/>
    </row>
    <row r="172">
      <c r="A172" s="41"/>
    </row>
    <row r="173">
      <c r="A173" s="41"/>
    </row>
    <row r="174">
      <c r="A174" s="41"/>
    </row>
    <row r="175">
      <c r="A175" s="41"/>
    </row>
    <row r="176">
      <c r="A176" s="41"/>
    </row>
    <row r="177">
      <c r="A177" s="41"/>
    </row>
    <row r="178">
      <c r="A178" s="41"/>
    </row>
    <row r="179">
      <c r="A179" s="41"/>
    </row>
    <row r="180">
      <c r="A180" s="41"/>
    </row>
    <row r="181">
      <c r="A181" s="41"/>
    </row>
    <row r="182">
      <c r="A182" s="41"/>
    </row>
    <row r="183">
      <c r="A183" s="41"/>
    </row>
    <row r="184">
      <c r="A184" s="41"/>
    </row>
    <row r="185">
      <c r="A185" s="41"/>
    </row>
    <row r="186">
      <c r="A186" s="41"/>
    </row>
    <row r="187">
      <c r="A187" s="41"/>
    </row>
    <row r="188">
      <c r="A188" s="41"/>
    </row>
    <row r="189">
      <c r="A189" s="41"/>
    </row>
    <row r="190">
      <c r="A190" s="41"/>
    </row>
    <row r="191">
      <c r="A191" s="41"/>
    </row>
    <row r="192">
      <c r="A192" s="41"/>
    </row>
    <row r="193">
      <c r="A193" s="41"/>
    </row>
    <row r="194">
      <c r="A194" s="41"/>
    </row>
    <row r="195">
      <c r="A195" s="41"/>
    </row>
    <row r="196">
      <c r="A196" s="41"/>
    </row>
    <row r="197">
      <c r="A197" s="41"/>
    </row>
    <row r="198">
      <c r="A198" s="41"/>
    </row>
    <row r="199">
      <c r="A199" s="41"/>
    </row>
    <row r="200">
      <c r="A200" s="41"/>
    </row>
    <row r="201">
      <c r="A201" s="41"/>
    </row>
    <row r="202">
      <c r="A202" s="41"/>
    </row>
    <row r="203">
      <c r="A203" s="41"/>
    </row>
    <row r="204">
      <c r="A204" s="41"/>
    </row>
    <row r="205">
      <c r="A205" s="41"/>
    </row>
    <row r="206">
      <c r="A206" s="41"/>
    </row>
    <row r="207">
      <c r="A207" s="41"/>
    </row>
    <row r="208">
      <c r="A208" s="41"/>
    </row>
    <row r="209">
      <c r="A209" s="41"/>
    </row>
    <row r="210">
      <c r="A210" s="41"/>
    </row>
    <row r="211">
      <c r="A211" s="41"/>
    </row>
    <row r="212">
      <c r="A212" s="41"/>
    </row>
    <row r="213">
      <c r="A213" s="41"/>
    </row>
    <row r="214">
      <c r="A214" s="41"/>
    </row>
    <row r="215">
      <c r="A215" s="41"/>
    </row>
    <row r="216">
      <c r="A216" s="41"/>
    </row>
    <row r="217">
      <c r="A217" s="41"/>
    </row>
    <row r="218">
      <c r="A218" s="41"/>
    </row>
    <row r="219">
      <c r="A219" s="41"/>
    </row>
    <row r="220">
      <c r="A220" s="41"/>
    </row>
    <row r="221">
      <c r="A221" s="41"/>
    </row>
    <row r="222">
      <c r="A222" s="41"/>
    </row>
    <row r="223">
      <c r="A223" s="41"/>
    </row>
    <row r="224">
      <c r="A224" s="41"/>
    </row>
    <row r="225">
      <c r="A225" s="41"/>
    </row>
    <row r="226">
      <c r="A226" s="41"/>
    </row>
    <row r="227">
      <c r="A227" s="41"/>
    </row>
    <row r="228">
      <c r="A228" s="41"/>
    </row>
    <row r="229">
      <c r="A229" s="41"/>
    </row>
    <row r="230">
      <c r="A230" s="41"/>
    </row>
    <row r="231">
      <c r="A231" s="41"/>
    </row>
    <row r="232">
      <c r="A232" s="41"/>
    </row>
    <row r="233">
      <c r="A233" s="41"/>
    </row>
    <row r="234">
      <c r="A234" s="41"/>
    </row>
    <row r="235">
      <c r="A235" s="41"/>
    </row>
    <row r="236">
      <c r="A236" s="41"/>
    </row>
    <row r="237">
      <c r="A237" s="41"/>
    </row>
    <row r="238">
      <c r="A238" s="41"/>
    </row>
    <row r="239">
      <c r="A239" s="41"/>
    </row>
    <row r="240">
      <c r="A240" s="41"/>
    </row>
    <row r="241">
      <c r="A241" s="41"/>
    </row>
    <row r="242">
      <c r="A242" s="41"/>
    </row>
    <row r="243">
      <c r="A243" s="41"/>
    </row>
    <row r="244">
      <c r="A244" s="41"/>
    </row>
    <row r="245">
      <c r="A245" s="41"/>
    </row>
    <row r="246">
      <c r="A246" s="41"/>
    </row>
    <row r="247">
      <c r="A247" s="41"/>
    </row>
    <row r="248">
      <c r="A248" s="41"/>
    </row>
    <row r="249">
      <c r="A249" s="41"/>
    </row>
    <row r="250">
      <c r="A250" s="41"/>
    </row>
    <row r="251">
      <c r="A251" s="41"/>
    </row>
    <row r="252">
      <c r="A252" s="41"/>
    </row>
    <row r="253">
      <c r="A253" s="41"/>
    </row>
    <row r="254">
      <c r="A254" s="41"/>
    </row>
    <row r="255">
      <c r="A255" s="41"/>
    </row>
    <row r="256">
      <c r="A256" s="41"/>
    </row>
    <row r="257">
      <c r="A257" s="41"/>
    </row>
    <row r="258">
      <c r="A258" s="41"/>
    </row>
    <row r="259">
      <c r="A259" s="41"/>
    </row>
    <row r="260">
      <c r="A260" s="41"/>
    </row>
    <row r="261">
      <c r="A261" s="41"/>
    </row>
    <row r="262">
      <c r="A262" s="41"/>
    </row>
    <row r="263">
      <c r="A263" s="41"/>
    </row>
    <row r="264">
      <c r="A264" s="41"/>
    </row>
    <row r="265">
      <c r="A265" s="41"/>
    </row>
    <row r="266">
      <c r="A266" s="41"/>
    </row>
    <row r="267">
      <c r="A267" s="41"/>
    </row>
    <row r="268">
      <c r="A268" s="41"/>
    </row>
    <row r="269">
      <c r="A269" s="41"/>
    </row>
    <row r="270">
      <c r="A270" s="41"/>
    </row>
    <row r="271">
      <c r="A271" s="41"/>
    </row>
    <row r="272">
      <c r="A272" s="41"/>
    </row>
    <row r="273">
      <c r="A273" s="41"/>
    </row>
    <row r="274">
      <c r="A274" s="41"/>
    </row>
    <row r="275">
      <c r="A275" s="41"/>
    </row>
    <row r="276">
      <c r="A276" s="41"/>
    </row>
    <row r="277">
      <c r="A277" s="41"/>
    </row>
    <row r="278">
      <c r="A278" s="41"/>
    </row>
    <row r="279">
      <c r="A279" s="41"/>
    </row>
    <row r="280">
      <c r="A280" s="41"/>
    </row>
    <row r="281">
      <c r="A281" s="41"/>
    </row>
    <row r="282">
      <c r="A282" s="41"/>
    </row>
    <row r="283">
      <c r="A283" s="41"/>
    </row>
    <row r="284">
      <c r="A284" s="41"/>
    </row>
    <row r="285">
      <c r="A285" s="41"/>
    </row>
    <row r="286">
      <c r="A286" s="41"/>
    </row>
    <row r="287">
      <c r="A287" s="41"/>
    </row>
    <row r="288">
      <c r="A288" s="41"/>
    </row>
    <row r="289">
      <c r="A289" s="41"/>
    </row>
    <row r="290">
      <c r="A290" s="41"/>
    </row>
    <row r="291">
      <c r="A291" s="41"/>
    </row>
    <row r="292">
      <c r="A292" s="41"/>
    </row>
    <row r="293">
      <c r="A293" s="41"/>
    </row>
    <row r="294">
      <c r="A294" s="41"/>
    </row>
    <row r="295">
      <c r="A295" s="41"/>
    </row>
    <row r="296">
      <c r="A296" s="41"/>
    </row>
    <row r="297">
      <c r="A297" s="41"/>
    </row>
    <row r="298">
      <c r="A298" s="41"/>
    </row>
    <row r="299">
      <c r="A299" s="41"/>
    </row>
    <row r="300">
      <c r="A300" s="41"/>
    </row>
    <row r="301">
      <c r="A301" s="41"/>
    </row>
    <row r="302">
      <c r="A302" s="41"/>
    </row>
    <row r="303">
      <c r="A303" s="41"/>
    </row>
    <row r="304">
      <c r="A304" s="41"/>
    </row>
    <row r="305">
      <c r="A305" s="41"/>
    </row>
    <row r="306">
      <c r="A306" s="41"/>
    </row>
    <row r="307">
      <c r="A307" s="41"/>
    </row>
    <row r="308">
      <c r="A308" s="41"/>
    </row>
    <row r="309">
      <c r="A309" s="41"/>
    </row>
    <row r="310">
      <c r="A310" s="41"/>
    </row>
    <row r="311">
      <c r="A311" s="41"/>
    </row>
    <row r="312">
      <c r="A312" s="41"/>
    </row>
    <row r="313">
      <c r="A313" s="41"/>
    </row>
    <row r="314">
      <c r="A314" s="41"/>
    </row>
    <row r="315">
      <c r="A315" s="41"/>
    </row>
    <row r="316">
      <c r="A316" s="41"/>
    </row>
    <row r="317">
      <c r="A317" s="41"/>
    </row>
    <row r="318">
      <c r="A318" s="41"/>
    </row>
    <row r="319">
      <c r="A319" s="41"/>
    </row>
    <row r="320">
      <c r="A320" s="41"/>
    </row>
    <row r="321">
      <c r="A321" s="41"/>
    </row>
    <row r="322">
      <c r="A322" s="41"/>
    </row>
    <row r="323">
      <c r="A323" s="41"/>
    </row>
    <row r="324">
      <c r="A324" s="41"/>
    </row>
    <row r="325">
      <c r="A325" s="41"/>
    </row>
    <row r="326">
      <c r="A326" s="41"/>
    </row>
    <row r="327">
      <c r="A327" s="41"/>
    </row>
    <row r="328">
      <c r="A328" s="41"/>
    </row>
    <row r="329">
      <c r="A329" s="41"/>
    </row>
    <row r="330">
      <c r="A330" s="41"/>
    </row>
    <row r="331">
      <c r="A331" s="41"/>
    </row>
    <row r="332">
      <c r="A332" s="41"/>
    </row>
    <row r="333">
      <c r="A333" s="41"/>
    </row>
    <row r="334">
      <c r="A334" s="41"/>
    </row>
    <row r="335">
      <c r="A335" s="41"/>
    </row>
    <row r="336">
      <c r="A336" s="41"/>
    </row>
    <row r="337">
      <c r="A337" s="41"/>
    </row>
    <row r="338">
      <c r="A338" s="41"/>
    </row>
    <row r="339">
      <c r="A339" s="41"/>
    </row>
    <row r="340">
      <c r="A340" s="41"/>
    </row>
    <row r="341">
      <c r="A341" s="41"/>
    </row>
    <row r="342">
      <c r="A342" s="41"/>
    </row>
    <row r="343">
      <c r="A343" s="41"/>
    </row>
    <row r="344">
      <c r="A344" s="41"/>
    </row>
    <row r="345">
      <c r="A345" s="41"/>
    </row>
    <row r="346">
      <c r="A346" s="41"/>
    </row>
    <row r="347">
      <c r="A347" s="41"/>
    </row>
    <row r="348">
      <c r="A348" s="41"/>
    </row>
    <row r="349">
      <c r="A349" s="41"/>
    </row>
    <row r="350">
      <c r="A350" s="41"/>
    </row>
    <row r="351">
      <c r="A351" s="41"/>
    </row>
    <row r="352">
      <c r="A352" s="41"/>
    </row>
    <row r="353">
      <c r="A353" s="41"/>
    </row>
    <row r="354">
      <c r="A354" s="41"/>
    </row>
    <row r="355">
      <c r="A355" s="41"/>
    </row>
    <row r="356">
      <c r="A356" s="41"/>
    </row>
    <row r="357">
      <c r="A357" s="41"/>
    </row>
    <row r="358">
      <c r="A358" s="41"/>
    </row>
    <row r="359">
      <c r="A359" s="41"/>
    </row>
    <row r="360">
      <c r="A360" s="41"/>
    </row>
    <row r="361">
      <c r="A361" s="41"/>
    </row>
    <row r="362">
      <c r="A362" s="41"/>
    </row>
    <row r="363">
      <c r="A363" s="41"/>
    </row>
    <row r="364">
      <c r="A364" s="41"/>
    </row>
    <row r="365">
      <c r="A365" s="41"/>
    </row>
    <row r="366">
      <c r="A366" s="41"/>
    </row>
    <row r="367">
      <c r="A367" s="41"/>
    </row>
    <row r="368">
      <c r="A368" s="41"/>
    </row>
    <row r="369">
      <c r="A369" s="41"/>
    </row>
    <row r="370">
      <c r="A370" s="41"/>
    </row>
    <row r="371">
      <c r="A371" s="41"/>
    </row>
    <row r="372">
      <c r="A372" s="41"/>
    </row>
    <row r="373">
      <c r="A373" s="41"/>
    </row>
    <row r="374">
      <c r="A374" s="41"/>
    </row>
    <row r="375">
      <c r="A375" s="41"/>
    </row>
    <row r="376">
      <c r="A376" s="41"/>
    </row>
    <row r="377">
      <c r="A377" s="41"/>
    </row>
    <row r="378">
      <c r="A378" s="41"/>
    </row>
    <row r="379">
      <c r="A379" s="41"/>
    </row>
    <row r="380">
      <c r="A380" s="41"/>
    </row>
    <row r="381">
      <c r="A381" s="41"/>
    </row>
    <row r="382">
      <c r="A382" s="41"/>
    </row>
    <row r="383">
      <c r="A383" s="41"/>
    </row>
    <row r="384">
      <c r="A384" s="41"/>
    </row>
    <row r="385">
      <c r="A385" s="41"/>
    </row>
    <row r="386">
      <c r="A386" s="41"/>
    </row>
    <row r="387">
      <c r="A387" s="41"/>
    </row>
    <row r="388">
      <c r="A388" s="41"/>
    </row>
    <row r="389">
      <c r="A389" s="41"/>
    </row>
    <row r="390">
      <c r="A390" s="41"/>
    </row>
    <row r="391">
      <c r="A391" s="41"/>
    </row>
    <row r="392">
      <c r="A392" s="41"/>
    </row>
    <row r="393">
      <c r="A393" s="41"/>
    </row>
    <row r="394">
      <c r="A394" s="41"/>
    </row>
    <row r="395">
      <c r="A395" s="41"/>
    </row>
    <row r="396">
      <c r="A396" s="41"/>
    </row>
    <row r="397">
      <c r="A397" s="41"/>
    </row>
    <row r="398">
      <c r="A398" s="41"/>
    </row>
    <row r="399">
      <c r="A399" s="41"/>
    </row>
    <row r="400">
      <c r="A400" s="41"/>
    </row>
    <row r="401">
      <c r="A401" s="41"/>
    </row>
    <row r="402">
      <c r="A402" s="41"/>
    </row>
    <row r="403">
      <c r="A403" s="41"/>
    </row>
    <row r="404">
      <c r="A404" s="41"/>
    </row>
    <row r="405">
      <c r="A405" s="41"/>
    </row>
    <row r="406">
      <c r="A406" s="41"/>
    </row>
    <row r="407">
      <c r="A407" s="41"/>
    </row>
    <row r="408">
      <c r="A408" s="41"/>
    </row>
    <row r="409">
      <c r="A409" s="41"/>
    </row>
    <row r="410">
      <c r="A410" s="41"/>
    </row>
    <row r="411">
      <c r="A411" s="41"/>
    </row>
    <row r="412">
      <c r="A412" s="41"/>
    </row>
    <row r="413">
      <c r="A413" s="41"/>
    </row>
    <row r="414">
      <c r="A414" s="41"/>
    </row>
    <row r="415">
      <c r="A415" s="41"/>
    </row>
    <row r="416">
      <c r="A416" s="41"/>
    </row>
    <row r="417">
      <c r="A417" s="41"/>
    </row>
    <row r="418">
      <c r="A418" s="41"/>
    </row>
    <row r="419">
      <c r="A419" s="41"/>
    </row>
    <row r="420">
      <c r="A420" s="41"/>
    </row>
    <row r="421">
      <c r="A421" s="41"/>
    </row>
    <row r="422">
      <c r="A422" s="41"/>
    </row>
    <row r="423">
      <c r="A423" s="41"/>
    </row>
    <row r="424">
      <c r="A424" s="41"/>
    </row>
    <row r="425">
      <c r="A425" s="41"/>
    </row>
    <row r="426">
      <c r="A426" s="41"/>
    </row>
    <row r="427">
      <c r="A427" s="41"/>
    </row>
    <row r="428">
      <c r="A428" s="41"/>
    </row>
    <row r="429">
      <c r="A429" s="41"/>
    </row>
    <row r="430">
      <c r="A430" s="41"/>
    </row>
    <row r="431">
      <c r="A431" s="41"/>
    </row>
    <row r="432">
      <c r="A432" s="41"/>
    </row>
    <row r="433">
      <c r="A433" s="41"/>
    </row>
    <row r="434">
      <c r="A434" s="41"/>
    </row>
    <row r="435">
      <c r="A435" s="41"/>
    </row>
    <row r="436">
      <c r="A436" s="41"/>
    </row>
    <row r="437">
      <c r="A437" s="41"/>
    </row>
    <row r="438">
      <c r="A438" s="41"/>
    </row>
    <row r="439">
      <c r="A439" s="41"/>
    </row>
    <row r="440">
      <c r="A440" s="41"/>
    </row>
    <row r="441">
      <c r="A441" s="41"/>
    </row>
    <row r="442">
      <c r="A442" s="41"/>
    </row>
    <row r="443">
      <c r="A443" s="41"/>
    </row>
    <row r="444">
      <c r="A444" s="41"/>
    </row>
    <row r="445">
      <c r="A445" s="41"/>
    </row>
    <row r="446">
      <c r="A446" s="41"/>
    </row>
    <row r="447">
      <c r="A447" s="41"/>
    </row>
    <row r="448">
      <c r="A448" s="41"/>
    </row>
    <row r="449">
      <c r="A449" s="41"/>
    </row>
    <row r="450">
      <c r="A450" s="41"/>
    </row>
    <row r="451">
      <c r="A451" s="41"/>
    </row>
    <row r="452">
      <c r="A452" s="41"/>
    </row>
    <row r="453">
      <c r="A453" s="41"/>
    </row>
    <row r="454">
      <c r="A454" s="41"/>
    </row>
    <row r="455">
      <c r="A455" s="41"/>
    </row>
    <row r="456">
      <c r="A456" s="41"/>
    </row>
    <row r="457">
      <c r="A457" s="41"/>
    </row>
    <row r="458">
      <c r="A458" s="41"/>
    </row>
    <row r="459">
      <c r="A459" s="41"/>
    </row>
    <row r="460">
      <c r="A460" s="41"/>
    </row>
    <row r="461">
      <c r="A461" s="41"/>
    </row>
    <row r="462">
      <c r="A462" s="41"/>
    </row>
    <row r="463">
      <c r="A463" s="41"/>
    </row>
    <row r="464">
      <c r="A464" s="41"/>
    </row>
    <row r="465">
      <c r="A465" s="41"/>
    </row>
    <row r="466">
      <c r="A466" s="41"/>
    </row>
    <row r="467">
      <c r="A467" s="41"/>
    </row>
    <row r="468">
      <c r="A468" s="41"/>
    </row>
    <row r="469">
      <c r="A469" s="41"/>
    </row>
    <row r="470">
      <c r="A470" s="41"/>
    </row>
    <row r="471">
      <c r="A471" s="41"/>
    </row>
    <row r="472">
      <c r="A472" s="41"/>
    </row>
    <row r="473">
      <c r="A473" s="41"/>
    </row>
    <row r="474">
      <c r="A474" s="41"/>
    </row>
    <row r="475">
      <c r="A475" s="41"/>
    </row>
    <row r="476">
      <c r="A476" s="41"/>
    </row>
    <row r="477">
      <c r="A477" s="41"/>
    </row>
    <row r="478">
      <c r="A478" s="41"/>
    </row>
    <row r="479">
      <c r="A479" s="41"/>
    </row>
    <row r="480">
      <c r="A480" s="41"/>
    </row>
    <row r="481">
      <c r="A481" s="41"/>
    </row>
    <row r="482">
      <c r="A482" s="41"/>
    </row>
    <row r="483">
      <c r="A483" s="41"/>
    </row>
    <row r="484">
      <c r="A484" s="41"/>
    </row>
    <row r="485">
      <c r="A485" s="41"/>
    </row>
    <row r="486">
      <c r="A486" s="41"/>
    </row>
    <row r="487">
      <c r="A487" s="41"/>
    </row>
    <row r="488">
      <c r="A488" s="41"/>
    </row>
    <row r="489">
      <c r="A489" s="41"/>
    </row>
    <row r="490">
      <c r="A490" s="41"/>
    </row>
    <row r="491">
      <c r="A491" s="41"/>
    </row>
    <row r="492">
      <c r="A492" s="41"/>
    </row>
    <row r="493">
      <c r="A493" s="41"/>
    </row>
    <row r="494">
      <c r="A494" s="41"/>
    </row>
    <row r="495">
      <c r="A495" s="41"/>
    </row>
    <row r="496">
      <c r="A496" s="41"/>
    </row>
    <row r="497">
      <c r="A497" s="41"/>
    </row>
    <row r="498">
      <c r="A498" s="41"/>
    </row>
    <row r="499">
      <c r="A499" s="41"/>
    </row>
    <row r="500">
      <c r="A500" s="41"/>
    </row>
    <row r="501">
      <c r="A501" s="41"/>
    </row>
    <row r="502">
      <c r="A502" s="41"/>
    </row>
    <row r="503">
      <c r="A503" s="41"/>
    </row>
    <row r="504">
      <c r="A504" s="41"/>
    </row>
    <row r="505">
      <c r="A505" s="41"/>
    </row>
    <row r="506">
      <c r="A506" s="41"/>
    </row>
    <row r="507">
      <c r="A507" s="41"/>
    </row>
    <row r="508">
      <c r="A508" s="41"/>
    </row>
    <row r="509">
      <c r="A509" s="41"/>
    </row>
    <row r="510">
      <c r="A510" s="41"/>
    </row>
    <row r="511">
      <c r="A511" s="41"/>
    </row>
    <row r="512">
      <c r="A512" s="41"/>
    </row>
    <row r="513">
      <c r="A513" s="41"/>
    </row>
    <row r="514">
      <c r="A514" s="41"/>
    </row>
    <row r="515">
      <c r="A515" s="41"/>
    </row>
    <row r="516">
      <c r="A516" s="41"/>
    </row>
    <row r="517">
      <c r="A517" s="41"/>
    </row>
    <row r="518">
      <c r="A518" s="41"/>
    </row>
    <row r="519">
      <c r="A519" s="41"/>
    </row>
    <row r="520">
      <c r="A520" s="41"/>
    </row>
    <row r="521">
      <c r="A521" s="41"/>
    </row>
    <row r="522">
      <c r="A522" s="41"/>
    </row>
    <row r="523">
      <c r="A523" s="41"/>
    </row>
    <row r="524">
      <c r="A524" s="41"/>
    </row>
    <row r="525">
      <c r="A525" s="41"/>
    </row>
    <row r="526">
      <c r="A526" s="41"/>
    </row>
    <row r="527">
      <c r="A527" s="41"/>
    </row>
    <row r="528">
      <c r="A528" s="41"/>
    </row>
    <row r="529">
      <c r="A529" s="41"/>
    </row>
    <row r="530">
      <c r="A530" s="41"/>
    </row>
    <row r="531">
      <c r="A531" s="41"/>
    </row>
    <row r="532">
      <c r="A532" s="41"/>
    </row>
    <row r="533">
      <c r="A533" s="41"/>
    </row>
    <row r="534">
      <c r="A534" s="41"/>
    </row>
    <row r="535">
      <c r="A535" s="41"/>
    </row>
    <row r="536">
      <c r="A536" s="41"/>
    </row>
    <row r="537">
      <c r="A537" s="41"/>
    </row>
    <row r="538">
      <c r="A538" s="41"/>
    </row>
    <row r="539">
      <c r="A539" s="41"/>
    </row>
    <row r="540">
      <c r="A540" s="41"/>
    </row>
    <row r="541">
      <c r="A541" s="41"/>
    </row>
    <row r="542">
      <c r="A542" s="41"/>
    </row>
    <row r="543">
      <c r="A543" s="41"/>
    </row>
    <row r="544">
      <c r="A544" s="41"/>
    </row>
    <row r="545">
      <c r="A545" s="41"/>
    </row>
    <row r="546">
      <c r="A546" s="41"/>
    </row>
    <row r="547">
      <c r="A547" s="41"/>
    </row>
    <row r="548">
      <c r="A548" s="41"/>
    </row>
    <row r="549">
      <c r="A549" s="41"/>
    </row>
    <row r="550">
      <c r="A550" s="41"/>
    </row>
    <row r="551">
      <c r="A551" s="41"/>
    </row>
    <row r="552">
      <c r="A552" s="41"/>
    </row>
    <row r="553">
      <c r="A553" s="41"/>
    </row>
    <row r="554">
      <c r="A554" s="41"/>
    </row>
    <row r="555">
      <c r="A555" s="41"/>
    </row>
    <row r="556">
      <c r="A556" s="41"/>
    </row>
    <row r="557">
      <c r="A557" s="41"/>
    </row>
    <row r="558">
      <c r="A558" s="41"/>
    </row>
    <row r="559">
      <c r="A559" s="41"/>
    </row>
    <row r="560">
      <c r="A560" s="41"/>
    </row>
    <row r="561">
      <c r="A561" s="41"/>
    </row>
    <row r="562">
      <c r="A562" s="41"/>
    </row>
    <row r="563">
      <c r="A563" s="41"/>
    </row>
    <row r="564">
      <c r="A564" s="41"/>
    </row>
    <row r="565">
      <c r="A565" s="41"/>
    </row>
    <row r="566">
      <c r="A566" s="41"/>
    </row>
    <row r="567">
      <c r="A567" s="41"/>
    </row>
    <row r="568">
      <c r="A568" s="41"/>
    </row>
    <row r="569">
      <c r="A569" s="41"/>
    </row>
    <row r="570">
      <c r="A570" s="41"/>
    </row>
    <row r="571">
      <c r="A571" s="41"/>
    </row>
    <row r="572">
      <c r="A572" s="41"/>
    </row>
    <row r="573">
      <c r="A573" s="41"/>
    </row>
    <row r="574">
      <c r="A574" s="41"/>
    </row>
    <row r="575">
      <c r="A575" s="41"/>
    </row>
    <row r="576">
      <c r="A576" s="41"/>
    </row>
    <row r="577">
      <c r="A577" s="41"/>
    </row>
    <row r="578">
      <c r="A578" s="41"/>
    </row>
    <row r="579">
      <c r="A579" s="41"/>
    </row>
    <row r="580">
      <c r="A580" s="41"/>
    </row>
    <row r="581">
      <c r="A581" s="41"/>
    </row>
    <row r="582">
      <c r="A582" s="41"/>
    </row>
    <row r="583">
      <c r="A583" s="41"/>
    </row>
    <row r="584">
      <c r="A584" s="41"/>
    </row>
    <row r="585">
      <c r="A585" s="41"/>
    </row>
    <row r="586">
      <c r="A586" s="41"/>
    </row>
    <row r="587">
      <c r="A587" s="41"/>
    </row>
    <row r="588">
      <c r="A588" s="41"/>
    </row>
    <row r="589">
      <c r="A589" s="41"/>
    </row>
    <row r="590">
      <c r="A590" s="41"/>
    </row>
    <row r="591">
      <c r="A591" s="41"/>
    </row>
    <row r="592">
      <c r="A592" s="41"/>
    </row>
    <row r="593">
      <c r="A593" s="41"/>
    </row>
    <row r="594">
      <c r="A594" s="41"/>
    </row>
    <row r="595">
      <c r="A595" s="41"/>
    </row>
    <row r="596">
      <c r="A596" s="41"/>
    </row>
    <row r="597">
      <c r="A597" s="41"/>
    </row>
    <row r="598">
      <c r="A598" s="41"/>
    </row>
    <row r="599">
      <c r="A599" s="41"/>
    </row>
    <row r="600">
      <c r="A600" s="41"/>
    </row>
    <row r="601">
      <c r="A601" s="41"/>
    </row>
    <row r="602">
      <c r="A602" s="41"/>
    </row>
    <row r="603">
      <c r="A603" s="41"/>
    </row>
    <row r="604">
      <c r="A604" s="41"/>
    </row>
    <row r="605">
      <c r="A605" s="41"/>
    </row>
    <row r="606">
      <c r="A606" s="41"/>
    </row>
    <row r="607">
      <c r="A607" s="41"/>
    </row>
    <row r="608">
      <c r="A608" s="41"/>
    </row>
    <row r="609">
      <c r="A609" s="41"/>
    </row>
    <row r="610">
      <c r="A610" s="41"/>
    </row>
    <row r="611">
      <c r="A611" s="41"/>
    </row>
    <row r="612">
      <c r="A612" s="41"/>
    </row>
    <row r="613">
      <c r="A613" s="41"/>
    </row>
    <row r="614">
      <c r="A614" s="41"/>
    </row>
    <row r="615">
      <c r="A615" s="41"/>
    </row>
    <row r="616">
      <c r="A616" s="41"/>
    </row>
    <row r="617">
      <c r="A617" s="41"/>
    </row>
    <row r="618">
      <c r="A618" s="41"/>
    </row>
    <row r="619">
      <c r="A619" s="41"/>
    </row>
    <row r="620">
      <c r="A620" s="41"/>
    </row>
    <row r="621">
      <c r="A621" s="41"/>
    </row>
    <row r="622">
      <c r="A622" s="41"/>
    </row>
    <row r="623">
      <c r="A623" s="41"/>
    </row>
    <row r="624">
      <c r="A624" s="41"/>
    </row>
    <row r="625">
      <c r="A625" s="41"/>
    </row>
    <row r="626">
      <c r="A626" s="41"/>
    </row>
    <row r="627">
      <c r="A627" s="41"/>
    </row>
    <row r="628">
      <c r="A628" s="41"/>
    </row>
    <row r="629">
      <c r="A629" s="41"/>
    </row>
    <row r="630">
      <c r="A630" s="41"/>
    </row>
    <row r="631">
      <c r="A631" s="41"/>
    </row>
    <row r="632">
      <c r="A632" s="41"/>
    </row>
    <row r="633">
      <c r="A633" s="41"/>
    </row>
    <row r="634">
      <c r="A634" s="41"/>
    </row>
    <row r="635">
      <c r="A635" s="41"/>
    </row>
    <row r="636">
      <c r="A636" s="41"/>
    </row>
    <row r="637">
      <c r="A637" s="41"/>
    </row>
    <row r="638">
      <c r="A638" s="41"/>
    </row>
    <row r="639">
      <c r="A639" s="41"/>
    </row>
    <row r="640">
      <c r="A640" s="41"/>
    </row>
    <row r="641">
      <c r="A641" s="41"/>
    </row>
    <row r="642">
      <c r="A642" s="41"/>
    </row>
    <row r="643">
      <c r="A643" s="41"/>
    </row>
    <row r="644">
      <c r="A644" s="41"/>
    </row>
    <row r="645">
      <c r="A645" s="41"/>
    </row>
    <row r="646">
      <c r="A646" s="41"/>
    </row>
    <row r="647">
      <c r="A647" s="41"/>
    </row>
    <row r="648">
      <c r="A648" s="41"/>
    </row>
    <row r="649">
      <c r="A649" s="41"/>
    </row>
    <row r="650">
      <c r="A650" s="41"/>
    </row>
    <row r="651">
      <c r="A651" s="41"/>
    </row>
    <row r="652">
      <c r="A652" s="41"/>
    </row>
    <row r="653">
      <c r="A653" s="41"/>
    </row>
    <row r="654">
      <c r="A654" s="41"/>
    </row>
    <row r="655">
      <c r="A655" s="41"/>
    </row>
    <row r="656">
      <c r="A656" s="41"/>
    </row>
    <row r="657">
      <c r="A657" s="41"/>
    </row>
    <row r="658">
      <c r="A658" s="41"/>
    </row>
    <row r="659">
      <c r="A659" s="41"/>
    </row>
    <row r="660">
      <c r="A660" s="41"/>
    </row>
    <row r="661">
      <c r="A661" s="41"/>
    </row>
    <row r="662">
      <c r="A662" s="41"/>
    </row>
    <row r="663">
      <c r="A663" s="41"/>
    </row>
    <row r="664">
      <c r="A664" s="41"/>
    </row>
    <row r="665">
      <c r="A665" s="41"/>
    </row>
    <row r="666">
      <c r="A666" s="41"/>
    </row>
    <row r="667">
      <c r="A667" s="41"/>
    </row>
    <row r="668">
      <c r="A668" s="41"/>
    </row>
    <row r="669">
      <c r="A669" s="41"/>
    </row>
    <row r="670">
      <c r="A670" s="41"/>
    </row>
    <row r="671">
      <c r="A671" s="41"/>
    </row>
    <row r="672">
      <c r="A672" s="41"/>
    </row>
    <row r="673">
      <c r="A673" s="41"/>
    </row>
    <row r="674">
      <c r="A674" s="41"/>
    </row>
    <row r="675">
      <c r="A675" s="41"/>
    </row>
    <row r="676">
      <c r="A676" s="41"/>
    </row>
    <row r="677">
      <c r="A677" s="41"/>
    </row>
    <row r="678">
      <c r="A678" s="41"/>
    </row>
    <row r="679">
      <c r="A679" s="41"/>
    </row>
    <row r="680">
      <c r="A680" s="41"/>
    </row>
    <row r="681">
      <c r="A681" s="41"/>
    </row>
    <row r="682">
      <c r="A682" s="41"/>
    </row>
    <row r="683">
      <c r="A683" s="41"/>
    </row>
    <row r="684">
      <c r="A684" s="41"/>
    </row>
    <row r="685">
      <c r="A685" s="41"/>
    </row>
    <row r="686">
      <c r="A686" s="41"/>
    </row>
    <row r="687">
      <c r="A687" s="41"/>
    </row>
    <row r="688">
      <c r="A688" s="41"/>
    </row>
    <row r="689">
      <c r="A689" s="41"/>
    </row>
    <row r="690">
      <c r="A690" s="41"/>
    </row>
    <row r="691">
      <c r="A691" s="41"/>
    </row>
    <row r="692">
      <c r="A692" s="41"/>
    </row>
    <row r="693">
      <c r="A693" s="41"/>
    </row>
    <row r="694">
      <c r="A694" s="41"/>
    </row>
    <row r="695">
      <c r="A695" s="41"/>
    </row>
    <row r="696">
      <c r="A696" s="41"/>
    </row>
    <row r="697">
      <c r="A697" s="41"/>
    </row>
    <row r="698">
      <c r="A698" s="41"/>
    </row>
    <row r="699">
      <c r="A699" s="41"/>
    </row>
    <row r="700">
      <c r="A700" s="41"/>
    </row>
    <row r="701">
      <c r="A701" s="41"/>
    </row>
    <row r="702">
      <c r="A702" s="41"/>
    </row>
    <row r="703">
      <c r="A703" s="41"/>
    </row>
    <row r="704">
      <c r="A704" s="41"/>
    </row>
    <row r="705">
      <c r="A705" s="41"/>
    </row>
    <row r="706">
      <c r="A706" s="41"/>
    </row>
    <row r="707">
      <c r="A707" s="41"/>
    </row>
    <row r="708">
      <c r="A708" s="41"/>
    </row>
    <row r="709">
      <c r="A709" s="41"/>
    </row>
    <row r="710">
      <c r="A710" s="41"/>
    </row>
    <row r="711">
      <c r="A711" s="41"/>
    </row>
    <row r="712">
      <c r="A712" s="41"/>
    </row>
    <row r="713">
      <c r="A713" s="41"/>
    </row>
    <row r="714">
      <c r="A714" s="41"/>
    </row>
    <row r="715">
      <c r="A715" s="41"/>
    </row>
    <row r="716">
      <c r="A716" s="41"/>
    </row>
    <row r="717">
      <c r="A717" s="41"/>
    </row>
    <row r="718">
      <c r="A718" s="41"/>
    </row>
    <row r="719">
      <c r="A719" s="41"/>
    </row>
    <row r="720">
      <c r="A720" s="41"/>
    </row>
    <row r="721">
      <c r="A721" s="41"/>
    </row>
    <row r="722">
      <c r="A722" s="41"/>
    </row>
    <row r="723">
      <c r="A723" s="41"/>
    </row>
    <row r="724">
      <c r="A724" s="41"/>
    </row>
    <row r="725">
      <c r="A725" s="41"/>
    </row>
    <row r="726">
      <c r="A726" s="41"/>
    </row>
    <row r="727">
      <c r="A727" s="41"/>
    </row>
    <row r="728">
      <c r="A728" s="41"/>
    </row>
    <row r="729">
      <c r="A729" s="41"/>
    </row>
    <row r="730">
      <c r="A730" s="41"/>
    </row>
    <row r="731">
      <c r="A731" s="41"/>
    </row>
    <row r="732">
      <c r="A732" s="41"/>
    </row>
    <row r="733">
      <c r="A733" s="41"/>
    </row>
    <row r="734">
      <c r="A734" s="41"/>
    </row>
    <row r="735">
      <c r="A735" s="41"/>
    </row>
    <row r="736">
      <c r="A736" s="41"/>
    </row>
    <row r="737">
      <c r="A737" s="41"/>
    </row>
    <row r="738">
      <c r="A738" s="41"/>
    </row>
    <row r="739">
      <c r="A739" s="41"/>
    </row>
    <row r="740">
      <c r="A740" s="41"/>
    </row>
    <row r="741">
      <c r="A741" s="41"/>
    </row>
    <row r="742">
      <c r="A742" s="41"/>
    </row>
    <row r="743">
      <c r="A743" s="41"/>
    </row>
    <row r="744">
      <c r="A744" s="41"/>
    </row>
    <row r="745">
      <c r="A745" s="41"/>
    </row>
    <row r="746">
      <c r="A746" s="41"/>
    </row>
    <row r="747">
      <c r="A747" s="41"/>
    </row>
    <row r="748">
      <c r="A748" s="41"/>
    </row>
    <row r="749">
      <c r="A749" s="41"/>
    </row>
    <row r="750">
      <c r="A750" s="41"/>
    </row>
    <row r="751">
      <c r="A751" s="41"/>
    </row>
    <row r="752">
      <c r="A752" s="41"/>
    </row>
    <row r="753">
      <c r="A753" s="41"/>
    </row>
    <row r="754">
      <c r="A754" s="41"/>
    </row>
    <row r="755">
      <c r="A755" s="41"/>
    </row>
    <row r="756">
      <c r="A756" s="41"/>
    </row>
    <row r="757">
      <c r="A757" s="41"/>
    </row>
    <row r="758">
      <c r="A758" s="41"/>
    </row>
    <row r="759">
      <c r="A759" s="41"/>
    </row>
    <row r="760">
      <c r="A760" s="41"/>
    </row>
    <row r="761">
      <c r="A761" s="41"/>
    </row>
    <row r="762">
      <c r="A762" s="41"/>
    </row>
    <row r="763">
      <c r="A763" s="41"/>
    </row>
    <row r="764">
      <c r="A764" s="41"/>
    </row>
    <row r="765">
      <c r="A765" s="41"/>
    </row>
    <row r="766">
      <c r="A766" s="41"/>
    </row>
    <row r="767">
      <c r="A767" s="41"/>
    </row>
    <row r="768">
      <c r="A768" s="41"/>
    </row>
    <row r="769">
      <c r="A769" s="41"/>
    </row>
    <row r="770">
      <c r="A770" s="41"/>
    </row>
    <row r="771">
      <c r="A771" s="41"/>
    </row>
    <row r="772">
      <c r="A772" s="41"/>
    </row>
    <row r="773">
      <c r="A773" s="41"/>
    </row>
    <row r="774">
      <c r="A774" s="41"/>
    </row>
    <row r="775">
      <c r="A775" s="41"/>
    </row>
    <row r="776">
      <c r="A776" s="41"/>
    </row>
    <row r="777">
      <c r="A777" s="41"/>
    </row>
    <row r="778">
      <c r="A778" s="41"/>
    </row>
    <row r="779">
      <c r="A779" s="41"/>
    </row>
    <row r="780">
      <c r="A780" s="41"/>
    </row>
    <row r="781">
      <c r="A781" s="41"/>
    </row>
    <row r="782">
      <c r="A782" s="41"/>
    </row>
    <row r="783">
      <c r="A783" s="41"/>
    </row>
    <row r="784">
      <c r="A784" s="41"/>
    </row>
    <row r="785">
      <c r="A785" s="41"/>
    </row>
    <row r="786">
      <c r="A786" s="41"/>
    </row>
    <row r="787">
      <c r="A787" s="41"/>
    </row>
    <row r="788">
      <c r="A788" s="41"/>
    </row>
    <row r="789">
      <c r="A789" s="41"/>
    </row>
    <row r="790">
      <c r="A790" s="41"/>
    </row>
    <row r="791">
      <c r="A791" s="41"/>
    </row>
    <row r="792">
      <c r="A792" s="41"/>
    </row>
    <row r="793">
      <c r="A793" s="41"/>
    </row>
    <row r="794">
      <c r="A794" s="41"/>
    </row>
    <row r="795">
      <c r="A795" s="41"/>
    </row>
    <row r="796">
      <c r="A796" s="41"/>
    </row>
    <row r="797">
      <c r="A797" s="41"/>
    </row>
    <row r="798">
      <c r="A798" s="41"/>
    </row>
    <row r="799">
      <c r="A799" s="41"/>
    </row>
    <row r="800">
      <c r="A800" s="41"/>
    </row>
    <row r="801">
      <c r="A801" s="41"/>
    </row>
    <row r="802">
      <c r="A802" s="41"/>
    </row>
    <row r="803">
      <c r="A803" s="41"/>
    </row>
    <row r="804">
      <c r="A804" s="41"/>
    </row>
    <row r="805">
      <c r="A805" s="41"/>
    </row>
    <row r="806">
      <c r="A806" s="41"/>
    </row>
    <row r="807">
      <c r="A807" s="41"/>
    </row>
    <row r="808">
      <c r="A808" s="41"/>
    </row>
    <row r="809">
      <c r="A809" s="41"/>
    </row>
    <row r="810">
      <c r="A810" s="41"/>
    </row>
    <row r="811">
      <c r="A811" s="41"/>
    </row>
    <row r="812">
      <c r="A812" s="41"/>
    </row>
    <row r="813">
      <c r="A813" s="41"/>
    </row>
    <row r="814">
      <c r="A814" s="41"/>
    </row>
    <row r="815">
      <c r="A815" s="41"/>
    </row>
    <row r="816">
      <c r="A816" s="41"/>
    </row>
    <row r="817">
      <c r="A817" s="41"/>
    </row>
    <row r="818">
      <c r="A818" s="41"/>
    </row>
    <row r="819">
      <c r="A819" s="41"/>
    </row>
    <row r="820">
      <c r="A820" s="41"/>
    </row>
    <row r="821">
      <c r="A821" s="41"/>
    </row>
    <row r="822">
      <c r="A822" s="41"/>
    </row>
    <row r="823">
      <c r="A823" s="41"/>
    </row>
    <row r="824">
      <c r="A824" s="41"/>
    </row>
    <row r="825">
      <c r="A825" s="41"/>
    </row>
    <row r="826">
      <c r="A826" s="41"/>
    </row>
    <row r="827">
      <c r="A827" s="41"/>
    </row>
    <row r="828">
      <c r="A828" s="41"/>
    </row>
    <row r="829">
      <c r="A829" s="41"/>
    </row>
    <row r="830">
      <c r="A830" s="41"/>
    </row>
    <row r="831">
      <c r="A831" s="41"/>
    </row>
    <row r="832">
      <c r="A832" s="41"/>
    </row>
    <row r="833">
      <c r="A833" s="41"/>
    </row>
    <row r="834">
      <c r="A834" s="41"/>
    </row>
    <row r="835">
      <c r="A835" s="41"/>
    </row>
    <row r="836">
      <c r="A836" s="41"/>
    </row>
    <row r="837">
      <c r="A837" s="41"/>
    </row>
    <row r="838">
      <c r="A838" s="41"/>
    </row>
    <row r="839">
      <c r="A839" s="41"/>
    </row>
    <row r="840">
      <c r="A840" s="41"/>
    </row>
    <row r="841">
      <c r="A841" s="41"/>
    </row>
    <row r="842">
      <c r="A842" s="41"/>
    </row>
    <row r="843">
      <c r="A843" s="41"/>
    </row>
    <row r="844">
      <c r="A844" s="41"/>
    </row>
    <row r="845">
      <c r="A845" s="41"/>
    </row>
    <row r="846">
      <c r="A846" s="41"/>
    </row>
    <row r="847">
      <c r="A847" s="41"/>
    </row>
    <row r="848">
      <c r="A848" s="41"/>
    </row>
    <row r="849">
      <c r="A849" s="41"/>
    </row>
    <row r="850">
      <c r="A850" s="41"/>
    </row>
    <row r="851">
      <c r="A851" s="41"/>
    </row>
    <row r="852">
      <c r="A852" s="41"/>
    </row>
    <row r="853">
      <c r="A853" s="41"/>
    </row>
    <row r="854">
      <c r="A854" s="41"/>
    </row>
    <row r="855">
      <c r="A855" s="41"/>
    </row>
    <row r="856">
      <c r="A856" s="41"/>
    </row>
    <row r="857">
      <c r="A857" s="41"/>
    </row>
    <row r="858">
      <c r="A858" s="41"/>
    </row>
    <row r="859">
      <c r="A859" s="41"/>
    </row>
    <row r="860">
      <c r="A860" s="41"/>
    </row>
    <row r="861">
      <c r="A861" s="41"/>
    </row>
    <row r="862">
      <c r="A862" s="41"/>
    </row>
    <row r="863">
      <c r="A863" s="41"/>
    </row>
    <row r="864">
      <c r="A864" s="41"/>
    </row>
    <row r="865">
      <c r="A865" s="41"/>
    </row>
    <row r="866">
      <c r="A866" s="41"/>
    </row>
    <row r="867">
      <c r="A867" s="41"/>
    </row>
    <row r="868">
      <c r="A868" s="41"/>
    </row>
    <row r="869">
      <c r="A869" s="41"/>
    </row>
    <row r="870">
      <c r="A870" s="41"/>
    </row>
    <row r="871">
      <c r="A871" s="41"/>
    </row>
    <row r="872">
      <c r="A872" s="41"/>
    </row>
    <row r="873">
      <c r="A873" s="41"/>
    </row>
    <row r="874">
      <c r="A874" s="41"/>
    </row>
    <row r="875">
      <c r="A875" s="41"/>
    </row>
    <row r="876">
      <c r="A876" s="41"/>
    </row>
    <row r="877">
      <c r="A877" s="41"/>
    </row>
    <row r="878">
      <c r="A878" s="41"/>
    </row>
    <row r="879">
      <c r="A879" s="41"/>
    </row>
    <row r="880">
      <c r="A880" s="41"/>
    </row>
    <row r="881">
      <c r="A881" s="41"/>
    </row>
  </sheetData>
  <mergeCells count="1">
    <mergeCell ref="E1:J1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4.86"/>
    <col customWidth="1" min="3" max="3" width="3.29"/>
    <col customWidth="1" min="4" max="4" width="24.43"/>
    <col customWidth="1" min="5" max="5" width="14.57"/>
    <col customWidth="1" min="6" max="6" width="27.86"/>
    <col customWidth="1" min="7" max="7" width="14.71"/>
    <col customWidth="1" min="8" max="8" width="3.29"/>
    <col customWidth="1" min="9" max="9" width="14.43"/>
    <col customWidth="1" min="10" max="10" width="14.57"/>
    <col customWidth="1" min="11" max="11" width="3.14"/>
    <col customWidth="1" min="12" max="12" width="14.71"/>
    <col customWidth="1" min="13" max="26" width="8.71"/>
  </cols>
  <sheetData>
    <row r="1">
      <c r="D1" s="42"/>
    </row>
    <row r="2" ht="22.5" customHeight="1">
      <c r="A2" s="43" t="s">
        <v>85</v>
      </c>
      <c r="B2" s="44"/>
      <c r="D2" s="45"/>
      <c r="E2" s="45"/>
      <c r="F2" s="45"/>
      <c r="G2" s="45"/>
      <c r="I2" s="45"/>
      <c r="J2" s="45"/>
      <c r="K2" s="45"/>
      <c r="L2" s="45"/>
    </row>
    <row r="3" ht="22.5" customHeight="1">
      <c r="A3" s="46"/>
      <c r="B3" s="47"/>
      <c r="D3" s="48" t="s">
        <v>47</v>
      </c>
      <c r="E3" s="48" t="s">
        <v>86</v>
      </c>
      <c r="F3" s="48" t="s">
        <v>87</v>
      </c>
      <c r="G3" s="48" t="s">
        <v>88</v>
      </c>
      <c r="I3" s="48" t="s">
        <v>89</v>
      </c>
      <c r="J3" s="48" t="s">
        <v>88</v>
      </c>
      <c r="L3" s="49" t="s">
        <v>90</v>
      </c>
      <c r="M3" s="50"/>
      <c r="N3" s="50"/>
      <c r="O3" s="50"/>
      <c r="P3" s="50"/>
      <c r="Q3" s="50"/>
      <c r="R3" s="50"/>
      <c r="S3" s="50"/>
      <c r="T3" s="50"/>
      <c r="U3" s="50"/>
      <c r="V3" s="51"/>
    </row>
    <row r="4" ht="22.5" customHeight="1">
      <c r="A4" s="52" t="s">
        <v>91</v>
      </c>
      <c r="B4" s="53">
        <v>45870.0</v>
      </c>
      <c r="D4" s="54" t="s">
        <v>58</v>
      </c>
      <c r="E4" s="10">
        <f>SUMIFS(Gastos!G:G,Gastos!A:A,"&gt;="&amp;$B$4,Gastos!A:A,"&lt;"&amp;$B$5,Gastos!B:B,"Fijo",Gastos!C:C,"Marketing")</f>
        <v>1294.304929</v>
      </c>
      <c r="F4" s="10">
        <f>SUMIFS(Gastos!G:G,Gastos!A:A,"&gt;="&amp;$B$4,Gastos!A:A,"&lt;"&amp;$B$5,Gastos!B:B,"Variable",Gastos!C:C,"Marketing")</f>
        <v>34</v>
      </c>
      <c r="G4" s="10">
        <f t="shared" ref="G4:G15" si="1">E4+F4</f>
        <v>1328.304929</v>
      </c>
      <c r="I4" s="4" t="s">
        <v>13</v>
      </c>
      <c r="J4" s="10">
        <f>SUMIFS(Ingresos!F:F, Ingresos!A:A, "&gt;="&amp;$B$4, Ingresos!A:A, "&lt;"&amp;$B$5, Ingresos!G:G, I4)</f>
        <v>9418.041396</v>
      </c>
      <c r="L4" s="55" t="s">
        <v>92</v>
      </c>
      <c r="V4" s="56"/>
    </row>
    <row r="5" ht="22.5" customHeight="1">
      <c r="A5" s="57" t="s">
        <v>93</v>
      </c>
      <c r="B5" s="58">
        <f>EDATE(B4,12)</f>
        <v>46235</v>
      </c>
      <c r="D5" s="54" t="s">
        <v>53</v>
      </c>
      <c r="E5" s="10">
        <f>SUMIFS(Gastos!G:G,Gastos!A:A,"&gt;="&amp;$B$4,Gastos!A:A,"&lt;"&amp;$B$5,Gastos!B:B,"Fijo",Gastos!C:C,"Herramientas/Software")</f>
        <v>210.59</v>
      </c>
      <c r="F5" s="10">
        <f>SUMIFS(Gastos!G:G,Gastos!A:A,"&gt;="&amp;$B$4,Gastos!A:A,"&lt;"&amp;$B$5,Gastos!B:B,"Variable",Gastos!C:C,"Herramientas/Software")</f>
        <v>131.88</v>
      </c>
      <c r="G5" s="10">
        <f t="shared" si="1"/>
        <v>342.47</v>
      </c>
      <c r="I5" s="4" t="s">
        <v>14</v>
      </c>
      <c r="J5" s="10">
        <f>SUMIFS(Ingresos!F:F, Ingresos!A:A, "&gt;="&amp;$B$4, Ingresos!A:A, "&lt;"&amp;$B$5, Ingresos!G:G, I5)</f>
        <v>790.84</v>
      </c>
      <c r="L5" s="55" t="s">
        <v>94</v>
      </c>
      <c r="V5" s="56"/>
    </row>
    <row r="6" ht="22.5" customHeight="1">
      <c r="A6" s="46"/>
      <c r="B6" s="59"/>
      <c r="D6" s="4" t="s">
        <v>69</v>
      </c>
      <c r="E6" s="10">
        <f>SUMIFS(Gastos!G:G,Gastos!A:A,"&gt;="&amp;$B$4,Gastos!A:A,"&lt;"&amp;$B$5,Gastos!B:B,"Fijo",Gastos!C:C,"Hardware")</f>
        <v>0</v>
      </c>
      <c r="F6" s="10">
        <f>SUMIFS(Gastos!G:G,Gastos!A:A,"&gt;="&amp;$B$4,Gastos!A:A,"&lt;"&amp;$B$5,Gastos!B:B,"Variable",Gastos!C:C,"Hardware")</f>
        <v>132.3848078</v>
      </c>
      <c r="G6" s="10">
        <f t="shared" si="1"/>
        <v>132.3848078</v>
      </c>
      <c r="I6" s="4" t="s">
        <v>15</v>
      </c>
      <c r="J6" s="10">
        <f>SUMIFS(Ingresos!F:F, Ingresos!A:A, "&gt;="&amp;$B$4, Ingresos!A:A, "&lt;"&amp;$B$5, Ingresos!G:G, I6)</f>
        <v>2008.88</v>
      </c>
      <c r="L6" s="60" t="s">
        <v>95</v>
      </c>
      <c r="M6" s="61"/>
      <c r="N6" s="61"/>
      <c r="O6" s="61"/>
      <c r="P6" s="61"/>
      <c r="Q6" s="61"/>
      <c r="R6" s="61"/>
      <c r="S6" s="61"/>
      <c r="T6" s="61"/>
      <c r="U6" s="61"/>
      <c r="V6" s="62"/>
    </row>
    <row r="7" ht="22.5" customHeight="1">
      <c r="A7" s="63" t="s">
        <v>96</v>
      </c>
      <c r="B7" s="64">
        <f>SUMIFS(Ingresos!F:F, Ingresos!A:A, "&gt;="&amp;B4, Ingresos!A:A, "&lt;"&amp;B5)
</f>
        <v>13033.64317</v>
      </c>
      <c r="D7" s="54" t="s">
        <v>50</v>
      </c>
      <c r="E7" s="10">
        <f>SUMIFS(Gastos!G:G,Gastos!A:A,"&gt;="&amp;$B$4,Gastos!A:A,"&lt;"&amp;$B$5,Gastos!B:B,"Fijo",Gastos!C:C,"Infra/Cloud")</f>
        <v>0</v>
      </c>
      <c r="F7" s="10">
        <f>SUMIFS(Gastos!G:G,Gastos!A:A,"&gt;="&amp;$B$4,Gastos!A:A,"&lt;"&amp;$B$5,Gastos!B:B,"Variable",Gastos!C:C,"Infra/Cloud")</f>
        <v>143.99</v>
      </c>
      <c r="G7" s="10">
        <f t="shared" si="1"/>
        <v>143.99</v>
      </c>
      <c r="I7" s="65" t="s">
        <v>97</v>
      </c>
      <c r="J7" s="66">
        <f>SUM(Resumen_Ingresos[Total])</f>
        <v>12217.7614</v>
      </c>
    </row>
    <row r="8" ht="22.5" customHeight="1">
      <c r="A8" s="67" t="s">
        <v>98</v>
      </c>
      <c r="B8" s="68">
        <f>SUMIFS(Gastos!G:G, Gastos!A:A, "&gt;="&amp;$B$4, Gastos!A:A, "&lt;"&amp;$B$5, Gastos!B:B, "Fijo")</f>
        <v>3069.60844</v>
      </c>
      <c r="D8" s="54" t="s">
        <v>99</v>
      </c>
      <c r="E8" s="10">
        <f>SUMIFS(Gastos!G:G,Gastos!A:A,"&gt;="&amp;$B$4,Gastos!A:A,"&lt;"&amp;$B$5,Gastos!B:B,"Fijo",Gastos!C:C,"Hosting/Dominios")</f>
        <v>0</v>
      </c>
      <c r="F8" s="10">
        <f>SUMIFS(Gastos!G:G,Gastos!A:A,"&gt;="&amp;$B$4,Gastos!A:A,"&lt;"&amp;$B$5,Gastos!B:B,"Variable",Gastos!C:C,"Hosting/Dominios")</f>
        <v>0</v>
      </c>
      <c r="G8" s="10">
        <f t="shared" si="1"/>
        <v>0</v>
      </c>
    </row>
    <row r="9" ht="22.5" customHeight="1">
      <c r="A9" s="69" t="s">
        <v>100</v>
      </c>
      <c r="B9" s="68">
        <f>SUMIFS(Gastos!G:G, Gastos!A:A, "&gt;="&amp;$B$4, Gastos!A:A, "&lt;"&amp;$B$5, Gastos!B:B, "Variable")</f>
        <v>546.3764293</v>
      </c>
      <c r="D9" s="4" t="s">
        <v>101</v>
      </c>
      <c r="E9" s="10">
        <f>SUMIFS(Gastos!G:G,Gastos!A:A,"&gt;="&amp;$B$4,Gastos!A:A,"&lt;"&amp;$B$5,Gastos!B:B,"Fijo",Gastos!C:C,"Email/Zoho")</f>
        <v>0</v>
      </c>
      <c r="F9" s="10">
        <f>SUMIFS(Gastos!G:G,Gastos!A:A,"&gt;="&amp;$B$4,Gastos!A:A,"&lt;"&amp;$B$5,Gastos!B:B,"Variable",Gastos!C:C,"Email/Zoho")</f>
        <v>0</v>
      </c>
      <c r="G9" s="10">
        <f t="shared" si="1"/>
        <v>0</v>
      </c>
    </row>
    <row r="10" ht="22.5" customHeight="1">
      <c r="A10" s="70"/>
      <c r="B10" s="71"/>
      <c r="D10" s="54" t="s">
        <v>102</v>
      </c>
      <c r="E10" s="10">
        <f>SUMIFS(Gastos!G:G,Gastos!A:A,"&gt;="&amp;$B$4,Gastos!A:A,"&lt;"&amp;$B$5,Gastos!B:B,"Fijo",Gastos!C:C,"Publicidad (Ads)")</f>
        <v>0</v>
      </c>
      <c r="F10" s="10">
        <f>SUMIFS(Gastos!G:G,Gastos!A:A,"&gt;="&amp;$B$4,Gastos!A:A,"&lt;"&amp;$B$5,Gastos!B:B,"Variable",Gastos!C:C,"Publicidad (Ads)")</f>
        <v>20</v>
      </c>
      <c r="G10" s="10">
        <f t="shared" si="1"/>
        <v>20</v>
      </c>
    </row>
    <row r="11" ht="22.5" customHeight="1">
      <c r="A11" s="72" t="s">
        <v>103</v>
      </c>
      <c r="B11" s="73">
        <f>B7-B8-B9</f>
        <v>9417.658304</v>
      </c>
      <c r="D11" s="54" t="s">
        <v>71</v>
      </c>
      <c r="E11" s="10">
        <f>SUMIFS(Gastos!G:G,Gastos!A:A,"&gt;="&amp;$B$4,Gastos!A:A,"&lt;"&amp;$B$5,Gastos!B:B,"Fijo",Gastos!C:C,"Sueldos/Honorarios")</f>
        <v>1400.393511</v>
      </c>
      <c r="F11" s="10">
        <f>SUMIFS(Gastos!G:G,Gastos!A:A,"&gt;="&amp;$B$4,Gastos!A:A,"&lt;"&amp;$B$5,Gastos!B:B,"Variable",Gastos!C:C,"Sueldos/Honorarios")</f>
        <v>0</v>
      </c>
      <c r="G11" s="10">
        <f t="shared" si="1"/>
        <v>1400.393511</v>
      </c>
    </row>
    <row r="12" ht="22.5" customHeight="1">
      <c r="A12" s="70"/>
      <c r="B12" s="71"/>
      <c r="D12" s="54" t="s">
        <v>61</v>
      </c>
      <c r="E12" s="10">
        <f>SUMIFS(Gastos!G:G,Gastos!A:A,"&gt;="&amp;$B$4,Gastos!A:A,"&lt;"&amp;$B$5,Gastos!B:B,"Fijo",Gastos!C:C,"Contabilidad/Legal")</f>
        <v>164.32</v>
      </c>
      <c r="F12" s="10">
        <f>SUMIFS(Gastos!G:G,Gastos!A:A,"&gt;="&amp;$B$4,Gastos!A:A,"&lt;"&amp;$B$5,Gastos!B:B,"Variable",Gastos!C:C,"Contabilidad/Legal")</f>
        <v>24.81403509</v>
      </c>
      <c r="G12" s="10">
        <f t="shared" si="1"/>
        <v>189.1340351</v>
      </c>
    </row>
    <row r="13" ht="22.5" customHeight="1">
      <c r="A13" s="74" t="s">
        <v>104</v>
      </c>
      <c r="B13" s="75">
        <f>SUMIFS(Ingresos!H:H,Ingresos!A:A,"&gt;="&amp;B4,Ingresos!A:A,"&lt;"&amp;B5,Ingresos!D:D,"Activo")</f>
        <v>0</v>
      </c>
      <c r="D13" s="54" t="s">
        <v>73</v>
      </c>
      <c r="E13" s="10">
        <f>SUMIFS(Gastos!G:G,Gastos!A:A,"&gt;="&amp;$B$4,Gastos!A:A,"&lt;"&amp;$B$5,Gastos!B:B,"Fijo",Gastos!C:C,"Viajes/Viáticos")</f>
        <v>0</v>
      </c>
      <c r="F13" s="10">
        <f>SUMIFS(Gastos!G:G,Gastos!A:A,"&gt;="&amp;$B$4,Gastos!A:A,"&lt;"&amp;$B$5,Gastos!B:B,"Variable",Gastos!C:C,"Viajes/Viáticos")</f>
        <v>10.50295133</v>
      </c>
      <c r="G13" s="10">
        <f t="shared" si="1"/>
        <v>10.50295133</v>
      </c>
    </row>
    <row r="14" ht="22.5" customHeight="1">
      <c r="D14" s="54" t="s">
        <v>75</v>
      </c>
      <c r="E14" s="10">
        <f>SUMIFS(Gastos!G:G,Gastos!A:A,"&gt;="&amp;$B$4,Gastos!A:A,"&lt;"&amp;$B$5,Gastos!B:B,"Fijo",Gastos!C:C,"Prospección/Demos")</f>
        <v>0</v>
      </c>
      <c r="F14" s="10">
        <f>SUMIFS(Gastos!G:G,Gastos!A:A,"&gt;="&amp;$B$4,Gastos!A:A,"&lt;"&amp;$B$5,Gastos!B:B,"Variable",Gastos!C:C,"Prospección/Demos")</f>
        <v>48.80463505</v>
      </c>
      <c r="G14" s="10">
        <f t="shared" si="1"/>
        <v>48.80463505</v>
      </c>
    </row>
    <row r="15" ht="22.5" customHeight="1">
      <c r="D15" s="54" t="s">
        <v>105</v>
      </c>
      <c r="E15" s="10">
        <f>SUMIFS(Gastos!G:G,Gastos!A:A,"&gt;="&amp;$B$4,Gastos!A:A,"&lt;"&amp;$B$5,Gastos!B:B,"Fijo",Gastos!C:C,"Otros")</f>
        <v>0</v>
      </c>
      <c r="F15" s="10">
        <f>SUMIFS(Gastos!G:G,Gastos!A:A,"&gt;="&amp;$B$4,Gastos!A:A,"&lt;"&amp;$B$5,Gastos!B:B,"Variable",Gastos!C:C,"Otros")</f>
        <v>0</v>
      </c>
      <c r="G15" s="10">
        <f t="shared" si="1"/>
        <v>0</v>
      </c>
    </row>
    <row r="16" ht="22.5" customHeight="1">
      <c r="D16" s="65" t="s">
        <v>97</v>
      </c>
      <c r="E16" s="66">
        <f>SUM(Resumen_Gastos[Fijos])</f>
        <v>3069.60844</v>
      </c>
      <c r="F16" s="66">
        <f>SUM(Resumen_Gastos[Variables (Activos)])</f>
        <v>546.3764293</v>
      </c>
      <c r="G16" s="66">
        <f>SUM(Resumen_Gastos[Total])</f>
        <v>3615.984869</v>
      </c>
    </row>
    <row r="17">
      <c r="D17" s="76"/>
      <c r="E17" s="77"/>
      <c r="F17" s="77"/>
      <c r="G17" s="7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2:B2"/>
  </mergeCells>
  <dataValidations>
    <dataValidation type="custom" allowBlank="1" showDropDown="1" sqref="J4:J6 E4:G15">
      <formula1>AND(ISNUMBER(E4),(NOT(OR(NOT(ISERROR(DATEVALUE(E4))), AND(ISNUMBER(E4), LEFT(CELL("format", E4))="D")))))</formula1>
    </dataValidation>
  </dataValidations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.29"/>
    <col customWidth="1" min="3" max="3" width="12.0"/>
    <col customWidth="1" min="4" max="4" width="3.29"/>
    <col customWidth="1" min="5" max="5" width="10.57"/>
    <col customWidth="1" min="6" max="6" width="4.29"/>
    <col customWidth="1" min="7" max="7" width="21.0"/>
    <col customWidth="1" min="8" max="26" width="8.71"/>
  </cols>
  <sheetData>
    <row r="1">
      <c r="A1" s="78" t="s">
        <v>106</v>
      </c>
      <c r="C1" s="79" t="s">
        <v>107</v>
      </c>
      <c r="E1" s="79" t="s">
        <v>108</v>
      </c>
      <c r="G1" s="79" t="s">
        <v>109</v>
      </c>
    </row>
    <row r="2">
      <c r="A2" s="79" t="s">
        <v>12</v>
      </c>
      <c r="C2" s="80" t="s">
        <v>13</v>
      </c>
      <c r="E2" s="79" t="s">
        <v>52</v>
      </c>
      <c r="G2" s="79" t="s">
        <v>58</v>
      </c>
    </row>
    <row r="3">
      <c r="A3" s="79" t="s">
        <v>36</v>
      </c>
      <c r="C3" s="80" t="s">
        <v>14</v>
      </c>
      <c r="E3" s="79" t="s">
        <v>49</v>
      </c>
      <c r="G3" s="79" t="s">
        <v>53</v>
      </c>
    </row>
    <row r="4">
      <c r="A4" s="79" t="s">
        <v>110</v>
      </c>
      <c r="C4" s="80" t="s">
        <v>15</v>
      </c>
      <c r="G4" s="79" t="s">
        <v>50</v>
      </c>
    </row>
    <row r="5">
      <c r="G5" s="79" t="s">
        <v>99</v>
      </c>
    </row>
    <row r="6">
      <c r="G6" s="79" t="s">
        <v>111</v>
      </c>
    </row>
    <row r="7">
      <c r="G7" s="79" t="s">
        <v>102</v>
      </c>
    </row>
    <row r="8">
      <c r="G8" s="79" t="s">
        <v>71</v>
      </c>
    </row>
    <row r="9">
      <c r="G9" s="79" t="s">
        <v>61</v>
      </c>
    </row>
    <row r="10">
      <c r="G10" s="79" t="s">
        <v>73</v>
      </c>
    </row>
    <row r="11">
      <c r="G11" s="79" t="s">
        <v>75</v>
      </c>
    </row>
    <row r="12">
      <c r="G12" s="79" t="s">
        <v>105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2025-09-27T14:51:05Z</dcterms:created>
  <dc:creator>openpyxl</dc:creator>
</cp:coreProperties>
</file>